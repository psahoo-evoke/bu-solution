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Sheet1" sheetId="1" state="visible" r:id="rId1"/>
    <sheet name="Gap review" sheetId="2" state="visible" r:id="rId2"/>
  </sheets>
  <definedNames>
    <definedName name="_xlnm._FilterDatabase" localSheetId="1" hidden="1">'Gap review'!$A$4:$G$22</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dd\-mmm\-yyyy"/>
  </numFmts>
  <fonts count="14">
    <font>
      <name val="Aptos Narrow"/>
      <charset val="1"/>
      <family val="0"/>
      <sz val="11"/>
    </font>
    <font>
      <name val="Arial"/>
      <family val="0"/>
      <sz val="10"/>
    </font>
    <font>
      <name val="Arial"/>
      <family val="0"/>
      <sz val="10"/>
    </font>
    <font>
      <name val="Arial"/>
      <family val="0"/>
      <sz val="10"/>
    </font>
    <font>
      <name val="Arial"/>
      <charset val="1"/>
      <family val="0"/>
      <b val="1"/>
      <color rgb="FF1F3864"/>
      <sz val="14"/>
    </font>
    <font>
      <name val="Arial"/>
      <charset val="1"/>
      <family val="0"/>
      <i val="1"/>
      <color rgb="FF595959"/>
      <sz val="9"/>
    </font>
    <font>
      <name val="Arial"/>
      <charset val="1"/>
      <family val="0"/>
      <b val="1"/>
      <color rgb="FFFFFFFF"/>
      <sz val="9"/>
    </font>
    <font>
      <name val="Arial"/>
      <charset val="1"/>
      <family val="0"/>
      <b val="1"/>
      <color rgb="FFFFFFFF"/>
      <sz val="10"/>
    </font>
    <font>
      <name val="Arial"/>
      <charset val="1"/>
      <family val="0"/>
      <color rgb="FF000000"/>
      <sz val="10"/>
    </font>
    <font>
      <name val="Arial"/>
      <charset val="1"/>
      <family val="0"/>
      <i val="1"/>
      <color rgb="FF0000FF"/>
      <sz val="10"/>
    </font>
    <font>
      <name val="Arial"/>
      <charset val="1"/>
      <family val="0"/>
      <color rgb="FF0000FF"/>
      <sz val="10"/>
    </font>
    <font>
      <name val="Consolas"/>
      <charset val="1"/>
      <family val="0"/>
      <color rgb="FFB5BD68"/>
      <sz val="11"/>
    </font>
    <font>
      <b val="1"/>
      <color rgb="001F3864"/>
      <sz val="14"/>
    </font>
    <font>
      <b val="1"/>
      <color rgb="00FFFFFF"/>
    </font>
  </fonts>
  <fills count="12">
    <fill>
      <patternFill/>
    </fill>
    <fill>
      <patternFill patternType="gray125"/>
    </fill>
    <fill>
      <patternFill patternType="solid">
        <fgColor rgb="FFBF9000"/>
        <bgColor rgb="FFFF6600"/>
      </patternFill>
    </fill>
    <fill>
      <patternFill patternType="solid">
        <fgColor rgb="FF548235"/>
        <bgColor rgb="FF339966"/>
      </patternFill>
    </fill>
    <fill>
      <patternFill patternType="solid">
        <fgColor rgb="FF7F7F7F"/>
        <bgColor rgb="FF548235"/>
      </patternFill>
    </fill>
    <fill>
      <patternFill patternType="solid">
        <fgColor rgb="FF1F3864"/>
        <bgColor rgb="FF333333"/>
      </patternFill>
    </fill>
    <fill>
      <patternFill patternType="solid">
        <fgColor rgb="FFFFFFFF"/>
        <bgColor rgb="FFF2F2F2"/>
      </patternFill>
    </fill>
    <fill>
      <patternFill patternType="solid">
        <fgColor rgb="FFFFF2CC"/>
        <bgColor rgb="FFF2F2F2"/>
      </patternFill>
    </fill>
    <fill>
      <patternFill patternType="solid">
        <fgColor rgb="FFE2EFDA"/>
        <bgColor rgb="FFDDEBF7"/>
      </patternFill>
    </fill>
    <fill>
      <patternFill patternType="solid">
        <fgColor rgb="FFF2F2F2"/>
        <bgColor rgb="FFE2EFDA"/>
      </patternFill>
    </fill>
    <fill>
      <patternFill patternType="solid">
        <fgColor rgb="001F3864"/>
      </patternFill>
    </fill>
    <fill>
      <patternFill patternType="solid">
        <fgColor rgb="00FFF2CC"/>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00BFBFBF"/>
      </left>
      <right style="thin">
        <color rgb="00BFBFBF"/>
      </right>
      <top style="thin">
        <color rgb="00BFBFBF"/>
      </top>
      <bottom style="thin">
        <color rgb="00BFBFBF"/>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5">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8" fillId="6" borderId="1" applyAlignment="1" pivotButton="0" quotePrefix="0" xfId="0">
      <alignment horizontal="center" vertical="top"/>
    </xf>
    <xf numFmtId="0" fontId="9" fillId="7" borderId="1" applyAlignment="1" pivotButton="0" quotePrefix="0" xfId="0">
      <alignment horizontal="general" vertical="top" wrapText="1"/>
    </xf>
    <xf numFmtId="164" fontId="9" fillId="7" borderId="1" applyAlignment="1" pivotButton="0" quotePrefix="0" xfId="0">
      <alignment horizontal="general" vertical="top" wrapText="1"/>
    </xf>
    <xf numFmtId="0" fontId="9" fillId="8" borderId="1" applyAlignment="1" pivotButton="0" quotePrefix="0" xfId="0">
      <alignment horizontal="general" vertical="top" wrapText="1"/>
    </xf>
    <xf numFmtId="0" fontId="9" fillId="9" borderId="1" applyAlignment="1" pivotButton="0" quotePrefix="0" xfId="0">
      <alignment horizontal="general" vertical="top" wrapText="1"/>
    </xf>
    <xf numFmtId="164" fontId="9" fillId="9" borderId="1" applyAlignment="1" pivotButton="0" quotePrefix="0" xfId="0">
      <alignment horizontal="general" vertical="top" wrapText="1"/>
    </xf>
    <xf numFmtId="164" fontId="9" fillId="8" borderId="1" applyAlignment="1" pivotButton="0" quotePrefix="0" xfId="0">
      <alignment horizontal="general" vertical="top" wrapText="1"/>
    </xf>
    <xf numFmtId="0" fontId="10" fillId="7" borderId="1" applyAlignment="1" pivotButton="0" quotePrefix="0" xfId="0">
      <alignment horizontal="general" vertical="top" wrapText="1"/>
    </xf>
    <xf numFmtId="164" fontId="10" fillId="7" borderId="1" applyAlignment="1" pivotButton="0" quotePrefix="0" xfId="0">
      <alignment horizontal="general" vertical="top" wrapText="1"/>
    </xf>
    <xf numFmtId="0" fontId="10" fillId="8" borderId="1" applyAlignment="1" pivotButton="0" quotePrefix="0" xfId="0">
      <alignment horizontal="general" vertical="top" wrapText="1"/>
    </xf>
    <xf numFmtId="0" fontId="10" fillId="9" borderId="1" applyAlignment="1" pivotButton="0" quotePrefix="0" xfId="0">
      <alignment horizontal="general" vertical="top" wrapText="1"/>
    </xf>
    <xf numFmtId="164" fontId="10" fillId="9" borderId="1" applyAlignment="1" pivotButton="0" quotePrefix="0" xfId="0">
      <alignment horizontal="general" vertical="top" wrapText="1"/>
    </xf>
    <xf numFmtId="164" fontId="10" fillId="8" borderId="1" applyAlignment="1" pivotButton="0" quotePrefix="0" xfId="0">
      <alignment horizontal="general" vertical="top" wrapText="1"/>
    </xf>
    <xf numFmtId="0" fontId="0" fillId="0" borderId="0" applyAlignment="1" pivotButton="0" quotePrefix="0" xfId="0">
      <alignment horizontal="left" vertical="center" wrapText="1"/>
    </xf>
    <xf numFmtId="0" fontId="11"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6" fillId="3" borderId="1" applyAlignment="1" pivotButton="0" quotePrefix="0" xfId="0">
      <alignment horizontal="center" vertical="center" wrapText="1"/>
    </xf>
    <xf numFmtId="0" fontId="0" fillId="0" borderId="4" pivotButton="0" quotePrefix="0" xfId="0"/>
    <xf numFmtId="0" fontId="0" fillId="0" borderId="5" pivotButton="0" quotePrefix="0" xfId="0"/>
    <xf numFmtId="0" fontId="6"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8" fillId="6" borderId="1" applyAlignment="1" pivotButton="0" quotePrefix="0" xfId="0">
      <alignment horizontal="center" vertical="top"/>
    </xf>
    <xf numFmtId="0" fontId="9" fillId="7" borderId="1" applyAlignment="1" pivotButton="0" quotePrefix="0" xfId="0">
      <alignment horizontal="general" vertical="top" wrapText="1"/>
    </xf>
    <xf numFmtId="164" fontId="9" fillId="7" borderId="1" applyAlignment="1" pivotButton="0" quotePrefix="0" xfId="0">
      <alignment horizontal="general" vertical="top" wrapText="1"/>
    </xf>
    <xf numFmtId="0" fontId="9" fillId="8" borderId="1" applyAlignment="1" pivotButton="0" quotePrefix="0" xfId="0">
      <alignment horizontal="general" vertical="top" wrapText="1"/>
    </xf>
    <xf numFmtId="0" fontId="9" fillId="9" borderId="1" applyAlignment="1" pivotButton="0" quotePrefix="0" xfId="0">
      <alignment horizontal="general" vertical="top" wrapText="1"/>
    </xf>
    <xf numFmtId="164" fontId="9" fillId="9" borderId="1" applyAlignment="1" pivotButton="0" quotePrefix="0" xfId="0">
      <alignment horizontal="general" vertical="top" wrapText="1"/>
    </xf>
    <xf numFmtId="164" fontId="9" fillId="8" borderId="1" applyAlignment="1" pivotButton="0" quotePrefix="0" xfId="0">
      <alignment horizontal="general" vertical="top" wrapText="1"/>
    </xf>
    <xf numFmtId="0" fontId="10" fillId="7" borderId="1" applyAlignment="1" pivotButton="0" quotePrefix="0" xfId="0">
      <alignment horizontal="general" vertical="top" wrapText="1"/>
    </xf>
    <xf numFmtId="164" fontId="10" fillId="7" borderId="1" applyAlignment="1" pivotButton="0" quotePrefix="0" xfId="0">
      <alignment horizontal="general" vertical="top" wrapText="1"/>
    </xf>
    <xf numFmtId="0" fontId="10" fillId="8" borderId="1" applyAlignment="1" pivotButton="0" quotePrefix="0" xfId="0">
      <alignment horizontal="general" vertical="top" wrapText="1"/>
    </xf>
    <xf numFmtId="0" fontId="10" fillId="9" borderId="1" applyAlignment="1" pivotButton="0" quotePrefix="0" xfId="0">
      <alignment horizontal="general" vertical="top" wrapText="1"/>
    </xf>
    <xf numFmtId="164" fontId="10" fillId="9" borderId="1" applyAlignment="1" pivotButton="0" quotePrefix="0" xfId="0">
      <alignment horizontal="general" vertical="top" wrapText="1"/>
    </xf>
    <xf numFmtId="164" fontId="10" fillId="8" borderId="1" applyAlignment="1" pivotButton="0" quotePrefix="0" xfId="0">
      <alignment horizontal="general" vertical="top" wrapText="1"/>
    </xf>
    <xf numFmtId="0" fontId="0" fillId="0" borderId="0" applyAlignment="1" pivotButton="0" quotePrefix="0" xfId="0">
      <alignment horizontal="left" vertical="center" wrapText="1"/>
    </xf>
    <xf numFmtId="0" fontId="11" fillId="0" borderId="0" applyAlignment="1" pivotButton="0" quotePrefix="0" xfId="0">
      <alignment horizontal="general" vertical="bottom" wrapText="1"/>
    </xf>
    <xf numFmtId="0" fontId="10" fillId="7" borderId="1" applyAlignment="1" pivotButton="0" quotePrefix="0" xfId="0">
      <alignment vertical="top" wrapText="1"/>
    </xf>
    <xf numFmtId="0" fontId="12" fillId="0" borderId="0" pivotButton="0" quotePrefix="0" xfId="0"/>
    <xf numFmtId="0" fontId="0" fillId="0" borderId="0" applyAlignment="1" pivotButton="0" quotePrefix="0" xfId="0">
      <alignment wrapText="1"/>
    </xf>
    <xf numFmtId="0" fontId="13" fillId="10" borderId="6" applyAlignment="1" pivotButton="0" quotePrefix="0" xfId="0">
      <alignment vertical="center" wrapText="1"/>
    </xf>
    <xf numFmtId="0" fontId="0" fillId="0" borderId="6" applyAlignment="1" pivotButton="0" quotePrefix="0" xfId="0">
      <alignment vertical="top" wrapText="1"/>
    </xf>
    <xf numFmtId="0" fontId="0" fillId="11" borderId="6"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ont>
        <name val="Arial"/>
        <charset val="1"/>
        <family val="0"/>
        <b val="1"/>
        <color rgb="FFC00000"/>
      </font>
    </dxf>
    <dxf>
      <fill>
        <patternFill>
          <bgColor rgb="FFC6EFCE"/>
        </patternFill>
      </fill>
    </dxf>
    <dxf>
      <fill>
        <patternFill>
          <bgColor rgb="FFC6EFCE"/>
        </patternFill>
      </fill>
    </dxf>
    <dxf>
      <fill>
        <patternFill>
          <bgColor rgb="FFFFC7CE"/>
        </patternFill>
      </fill>
    </dxf>
    <dxf>
      <fill>
        <patternFill>
          <bgColor rgb="FFDDEBF7"/>
        </patternFill>
      </fill>
    </dxf>
    <dxf>
      <fill>
        <patternFill>
          <bgColor rgb="FFFFEB9C"/>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7F7F7F"/>
      <rgbColor rgb="FF9999FF"/>
      <rgbColor rgb="FF993366"/>
      <rgbColor rgb="FFFFF2CC"/>
      <rgbColor rgb="FFDDEBF7"/>
      <rgbColor rgb="FF660066"/>
      <rgbColor rgb="FFFF8080"/>
      <rgbColor rgb="FF0066CC"/>
      <rgbColor rgb="FFF2F2F2"/>
      <rgbColor rgb="FF000080"/>
      <rgbColor rgb="FFFF00FF"/>
      <rgbColor rgb="FFFFFF00"/>
      <rgbColor rgb="FF00FFFF"/>
      <rgbColor rgb="FF800080"/>
      <rgbColor rgb="FF800000"/>
      <rgbColor rgb="FF008080"/>
      <rgbColor rgb="FF0000FF"/>
      <rgbColor rgb="FF00CCFF"/>
      <rgbColor rgb="FFE2EFDA"/>
      <rgbColor rgb="FFC6EFCE"/>
      <rgbColor rgb="FFFFEB9C"/>
      <rgbColor rgb="FF99CCFF"/>
      <rgbColor rgb="FFFF99CC"/>
      <rgbColor rgb="FFCC99FF"/>
      <rgbColor rgb="FFFFC7CE"/>
      <rgbColor rgb="FF3366FF"/>
      <rgbColor rgb="FF33CCCC"/>
      <rgbColor rgb="FF99CC00"/>
      <rgbColor rgb="FFFFCC00"/>
      <rgbColor rgb="FFBF9000"/>
      <rgbColor rgb="FFFF6600"/>
      <rgbColor rgb="FF595959"/>
      <rgbColor rgb="FFB5BD68"/>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pitchFamily="0" charset="1"/>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203"/>
  <sheetViews>
    <sheetView showFormulas="0" showGridLines="1" showRowColHeaders="1" showZeros="1" rightToLeft="0" tabSelected="1" showOutlineSymbols="1" defaultGridColor="1" view="normal" topLeftCell="D22" colorId="64" zoomScale="85" zoomScaleNormal="85" zoomScalePageLayoutView="100" workbookViewId="0">
      <selection pane="topLeft" activeCell="N22" activeCellId="0" sqref="N22"/>
    </sheetView>
  </sheetViews>
  <sheetFormatPr baseColWidth="8" defaultColWidth="14.45703125" defaultRowHeight="15" customHeight="1" zeroHeight="0" outlineLevelRow="0"/>
  <cols>
    <col width="9" customWidth="1" style="23" min="1" max="1"/>
    <col width="30" customWidth="1" style="23" min="2" max="2"/>
    <col width="18" customWidth="1" style="23" min="3" max="4"/>
    <col width="13" customWidth="1" style="23" min="5" max="5"/>
    <col width="22" customWidth="1" style="23" min="6" max="6"/>
    <col width="160.09" customWidth="1" style="24" min="7" max="7"/>
    <col width="123.87" customWidth="1" style="23" min="8" max="8"/>
    <col width="36" customWidth="1" style="23" min="9" max="9"/>
    <col width="10" customWidth="1" style="23" min="10" max="10"/>
    <col width="20" customWidth="1" style="23" min="11" max="11"/>
    <col width="17" customWidth="1" style="23" min="12" max="12"/>
    <col width="13" customWidth="1" style="23" min="13" max="13"/>
    <col width="18" customWidth="1" style="23" min="14" max="14"/>
    <col width="13" customWidth="1" style="23" min="15" max="15"/>
  </cols>
  <sheetData>
    <row r="1" ht="17.35" customHeight="1" s="25">
      <c r="A1" s="26" t="inlineStr">
        <is>
          <t>Hackathon 5.0 — Participant Question Log</t>
        </is>
      </c>
    </row>
    <row r="2" ht="15" customHeight="1" s="25">
      <c r="A2" s="27" t="inlineStr">
        <is>
          <t>One question per row. PODs fill the yellow columns; the business fills the green columns; the Learning Team manages the grey columns. Row 5 is an example — overwrite or delete it.</t>
        </is>
      </c>
    </row>
    <row r="3" ht="15" customHeight="1" s="25">
      <c r="B3" s="28" t="inlineStr">
        <is>
          <t>FILLED BY PARTICIPANT POD</t>
        </is>
      </c>
      <c r="C3" s="28" t="n"/>
      <c r="D3" s="28" t="n"/>
      <c r="E3" s="28" t="n"/>
      <c r="F3" s="28" t="n"/>
      <c r="G3" s="28" t="n"/>
      <c r="H3" s="29" t="inlineStr">
        <is>
          <t>FILLED BY BUSINESS</t>
        </is>
      </c>
      <c r="I3" s="30" t="n"/>
      <c r="J3" s="31" t="n"/>
      <c r="K3" s="28" t="n"/>
      <c r="L3" s="32" t="inlineStr">
        <is>
          <t>LEARNING TEAM</t>
        </is>
      </c>
      <c r="M3" s="31" t="n"/>
      <c r="N3" s="29" t="n"/>
      <c r="O3" s="29" t="n"/>
    </row>
    <row r="4" ht="43.5" customHeight="1" s="25">
      <c r="A4" s="33" t="inlineStr">
        <is>
          <t>Q ID</t>
        </is>
      </c>
      <c r="B4" s="33" t="inlineStr">
        <is>
          <t>Problem statement</t>
        </is>
      </c>
      <c r="C4" s="33" t="inlineStr">
        <is>
          <t>Team name</t>
        </is>
      </c>
      <c r="D4" s="33" t="inlineStr">
        <is>
          <t>Submitted by</t>
        </is>
      </c>
      <c r="E4" s="33" t="inlineStr">
        <is>
          <t>Date submitted</t>
        </is>
      </c>
      <c r="F4" s="33" t="inlineStr">
        <is>
          <t>Category</t>
        </is>
      </c>
      <c r="G4" s="33" t="inlineStr">
        <is>
          <t>Question</t>
        </is>
      </c>
      <c r="H4" s="33" t="inlineStr">
        <is>
          <t>Response</t>
        </is>
      </c>
      <c r="I4" s="33" t="inlineStr">
        <is>
          <t>Why we're asking (what it helps us decide)</t>
        </is>
      </c>
      <c r="J4" s="33" t="inlineStr">
        <is>
          <t>Priority</t>
        </is>
      </c>
      <c r="K4" s="33" t="inlineStr">
        <is>
          <t>Addressed to</t>
        </is>
      </c>
      <c r="L4" s="33" t="inlineStr">
        <is>
          <t>Status</t>
        </is>
      </c>
      <c r="M4" s="33" t="inlineStr">
        <is>
          <t>Date sent to business</t>
        </is>
      </c>
      <c r="N4" s="33" t="inlineStr">
        <is>
          <t>Responded by</t>
        </is>
      </c>
      <c r="O4" s="33" t="inlineStr">
        <is>
          <t>Response date</t>
        </is>
      </c>
    </row>
    <row r="5" ht="93" customHeight="1" s="25">
      <c r="A5" s="34">
        <f>IF(G5="","","Q-"&amp;TEXT(ROW()-4,"000"))</f>
        <v/>
      </c>
      <c r="B5" s="35" t="inlineStr">
        <is>
          <t>Boston University (BU) receives more than 800 transfer students annually. Each student's previously completed courses must be evaluated to determine how much credit can be transferred to BU</t>
        </is>
      </c>
      <c r="C5" s="35" t="inlineStr">
        <is>
          <t>THE SOLUTIONAUTS</t>
        </is>
      </c>
      <c r="D5" s="35" t="inlineStr">
        <is>
          <t>puspalata sahoo</t>
        </is>
      </c>
      <c r="E5" s="36" t="n">
        <v>46350</v>
      </c>
      <c r="F5" s="35" t="inlineStr">
        <is>
          <t>Business numbers / KPIs</t>
        </is>
      </c>
      <c r="G5" s="35" t="inlineStr">
        <is>
          <t>How does BU currently use Transferology? Can our solution access its results or existing equivalency data, or should we build a separate recommendation workflow using the sample data provided?</t>
        </is>
      </c>
      <c r="H5" s="37" t="inlineStr">
        <is>
          <t>BU policy: Transferology is a database showing whether BU has granted credit for a particular course from a particular school in the past. Students check it before applying. Courses listed as matches need no syllabus. 
Assumption: There is no access to Transferology’s data or BU’s equivalency database. Build a separate recommendation workflow on synthetic data, with your own equivalency table standing in for BU’s.</t>
        </is>
      </c>
      <c r="I5" s="35" t="inlineStr">
        <is>
          <t>That answer will help you decide whether to integrate with an existing tool or develop a standalone AI-assisted evaluation prototype.</t>
        </is>
      </c>
      <c r="J5" s="35" t="inlineStr">
        <is>
          <t>High</t>
        </is>
      </c>
      <c r="K5" s="35" t="inlineStr">
        <is>
          <t>Business stakeholder (SPOC)</t>
        </is>
      </c>
      <c r="L5" s="38" t="n"/>
      <c r="M5" s="39" t="n"/>
      <c r="N5" s="37" t="n"/>
      <c r="O5" s="40" t="n"/>
    </row>
    <row r="6" ht="24.05" customHeight="1" s="25">
      <c r="A6" s="34">
        <f>IF(G6="","","Q-"&amp;TEXT(ROW()-4,"000"))</f>
        <v/>
      </c>
      <c r="B6" s="41" t="n"/>
      <c r="C6" s="41" t="n"/>
      <c r="D6" s="41" t="n"/>
      <c r="E6" s="42" t="n"/>
      <c r="F6" s="41" t="inlineStr">
        <is>
          <t>Business numbers / KPIs</t>
        </is>
      </c>
      <c r="G6" s="24" t="inlineStr">
        <is>
          <t>How many courses per year land in “maybe”?</t>
        </is>
      </c>
      <c r="H6" s="43" t="inlineStr">
        <is>
          <t>Assumption: About 800 transfer students × 10 courses = 8,000 courses a year. 35% of them, about 2,800 courses, land in “maybe”.</t>
        </is>
      </c>
      <c r="I6" s="41" t="n"/>
      <c r="J6" s="41" t="n"/>
      <c r="K6" s="41" t="n"/>
      <c r="L6" s="44" t="n"/>
      <c r="M6" s="45" t="n"/>
      <c r="N6" s="43" t="n"/>
      <c r="O6" s="46" t="n"/>
    </row>
    <row r="7" ht="35.4" customHeight="1" s="25">
      <c r="A7" s="34">
        <f>IF(G7="","","Q-"&amp;TEXT(ROW()-4,"000"))</f>
        <v/>
      </c>
      <c r="B7" s="41" t="n"/>
      <c r="C7" s="41" t="n"/>
      <c r="D7" s="41" t="n"/>
      <c r="E7" s="42" t="n"/>
      <c r="F7" s="41" t="inlineStr">
        <is>
          <t>Business numbers / KPIs</t>
        </is>
      </c>
      <c r="G7" s="41" t="inlineStr">
        <is>
          <t>What is the average days from transcript received to final posting?</t>
        </is>
      </c>
      <c r="H7" s="43" t="inlineStr">
        <is>
          <t>BU policy: Not published. BU says to allow 3–4 weeks after admission for work to begin, and another 3–4 weeks for syllabi to be reviewed and sent out.
Assumption: 45 days on average: 7 days for existing matches, 60 days for “maybe” courses.</t>
        </is>
      </c>
      <c r="I7" s="41" t="n"/>
      <c r="J7" s="41" t="n"/>
      <c r="K7" s="41" t="n"/>
      <c r="L7" s="44" t="n"/>
      <c r="M7" s="45" t="n"/>
      <c r="N7" s="43" t="n"/>
      <c r="O7" s="46" t="n"/>
    </row>
    <row r="8" ht="24.05" customHeight="1" s="25">
      <c r="A8" s="34">
        <f>IF(G8="","","Q-"&amp;TEXT(ROW()-4,"000"))</f>
        <v/>
      </c>
      <c r="B8" s="41" t="n"/>
      <c r="C8" s="41" t="n"/>
      <c r="D8" s="41" t="n"/>
      <c r="E8" s="42" t="n"/>
      <c r="F8" s="41" t="inlineStr">
        <is>
          <t>Business numbers / KPIs</t>
        </is>
      </c>
      <c r="G8" s="41" t="inlineStr">
        <is>
          <t>How long does an evaluator spend per syllabus?</t>
        </is>
      </c>
      <c r="H8" s="43" t="inlineStr">
        <is>
          <t>Assumption: 12 minutes</t>
        </is>
      </c>
      <c r="I8" s="41" t="n"/>
      <c r="J8" s="41" t="n"/>
      <c r="K8" s="41" t="n"/>
      <c r="L8" s="44" t="n"/>
      <c r="M8" s="45" t="n"/>
      <c r="N8" s="43" t="n"/>
      <c r="O8" s="46" t="n"/>
    </row>
    <row r="9" ht="24.05" customHeight="1" s="25">
      <c r="A9" s="34">
        <f>IF(G9="","","Q-"&amp;TEXT(ROW()-4,"000"))</f>
        <v/>
      </c>
      <c r="B9" s="41" t="n"/>
      <c r="C9" s="41" t="n"/>
      <c r="D9" s="41" t="n"/>
      <c r="E9" s="42" t="n"/>
      <c r="F9" s="41" t="inlineStr">
        <is>
          <t>Process</t>
        </is>
      </c>
      <c r="G9" s="41" t="inlineStr">
        <is>
          <t xml:space="preserve">Which steps in the brief are marked † (unconfirmed)? </t>
        </is>
      </c>
      <c r="H9" s="43" t="inlineStr">
        <is>
          <t>None. The brief I wrote has no † marks, so you may have an edited copy. The steps I’d treat as unconfirmed are the internal ones: how Credit Evaluation checks the database, how decisions are recorded, and who checks eligibility before posting</t>
        </is>
      </c>
      <c r="I9" s="41" t="n"/>
      <c r="J9" s="41" t="n"/>
      <c r="K9" s="41" t="n"/>
      <c r="L9" s="44" t="n"/>
      <c r="M9" s="45" t="n"/>
      <c r="N9" s="43" t="n"/>
      <c r="O9" s="46" t="n"/>
    </row>
    <row r="10" ht="35.4" customHeight="1" s="25">
      <c r="A10" s="34">
        <f>IF(G10="","","Q-"&amp;TEXT(ROW()-4,"000"))</f>
        <v/>
      </c>
      <c r="B10" s="41" t="n"/>
      <c r="C10" s="41" t="n"/>
      <c r="D10" s="41" t="n"/>
      <c r="E10" s="42" t="n"/>
      <c r="F10" s="23" t="inlineStr">
        <is>
          <t>Process</t>
        </is>
      </c>
      <c r="G10" s="41" t="inlineStr">
        <is>
          <t>Who can see the evaluator’s decision before posting?</t>
        </is>
      </c>
      <c r="H10" s="43" t="inlineStr">
        <is>
          <t>BU policy: Results go back to the department, then to the Registrar for posting. Students see TP (“under review”) until posting.
Assumption: The evaluator, the department and Credit Evaluation see the decision. The student’s advisor sees “Approved – awaiting posting”.</t>
        </is>
      </c>
      <c r="I10" s="41" t="n"/>
      <c r="J10" s="41" t="n"/>
      <c r="K10" s="41" t="n"/>
      <c r="L10" s="44" t="n"/>
      <c r="M10" s="45" t="n"/>
      <c r="N10" s="43" t="n"/>
      <c r="O10" s="46" t="n"/>
    </row>
    <row r="11" ht="80.75" customHeight="1" s="25">
      <c r="A11" s="34">
        <f>IF(G11="","","Q-"&amp;TEXT(ROW()-4,"000"))</f>
        <v/>
      </c>
      <c r="B11" s="41" t="n"/>
      <c r="C11" s="41" t="n"/>
      <c r="D11" s="41" t="n"/>
      <c r="E11" s="42" t="n"/>
      <c r="F11" s="41" t="inlineStr">
        <is>
          <t>Rules</t>
        </is>
      </c>
      <c r="G11" s="41" t="inlineStr">
        <is>
          <t>What counts as “close enough” for an equivalent, elective or no credit?</t>
        </is>
      </c>
      <c r="H11" s="43" t="inlineStr">
        <is>
          <t>BU policy: “Substantially equivalent” in content and level gets a specific BU course. Otherwise eligible courses get elective units, and ineligible ones get no credit.
Assumption:
Equivalent: 80% or more overlap.
Partial, evaluator decides: 50–79%.
Elective: below 50%, if the course is eligible.
No credit: if the course is ineligible.</t>
        </is>
      </c>
      <c r="I11" s="41" t="n"/>
      <c r="J11" s="41" t="n"/>
      <c r="K11" s="41" t="n"/>
      <c r="L11" s="44" t="n"/>
      <c r="M11" s="45" t="n"/>
      <c r="N11" s="43" t="n"/>
      <c r="O11" s="46" t="n"/>
    </row>
    <row r="12" ht="115.65" customHeight="1" s="25">
      <c r="A12" s="34">
        <f>IF(G12="","","Q-"&amp;TEXT(ROW()-4,"000"))</f>
        <v/>
      </c>
      <c r="B12" s="41" t="n"/>
      <c r="C12" s="41" t="n"/>
      <c r="D12" s="41" t="n"/>
      <c r="E12" s="42" t="n"/>
      <c r="F12" s="23" t="inlineStr">
        <is>
          <t>Rules</t>
        </is>
      </c>
      <c r="G12" s="47" t="inlineStr">
        <is>
          <t>Are there rules beyond the five in the brief (C or higher, quarter conversion, no Hub units, one-year deadline)?</t>
        </is>
      </c>
      <c r="H12" s="43" t="inlineStr">
        <is>
          <t>U policy: Yes, many. Most are in the Rules sheet I suggested building:
Credit limits: 68-unit maximum; one-credit courses generally not accepted.
Grades: Pass/Fail generally not accepted.
Ineligible course types: remedial, vocational, physical education and ROTC.
Ineligible work: internships, research, and military or life experience.
Older coursework: courses five or more years old need review.
Duplicates: duplicate courses earn elective credit only.
Accreditation: only regionally accredited schools.
Department rules: BU-only courses (CS Group C), the Economics cap on 200-level-or-above transfers, biology’s in-person labs.
Appeals: must be made in the first year.</t>
        </is>
      </c>
      <c r="I12" s="41" t="n"/>
      <c r="J12" s="41" t="n"/>
      <c r="K12" s="41" t="n"/>
      <c r="L12" s="44" t="n"/>
      <c r="M12" s="45" t="n"/>
      <c r="N12" s="43" t="n"/>
      <c r="O12" s="46" t="n"/>
    </row>
    <row r="13" ht="24.05" customHeight="1" s="25">
      <c r="A13" s="34">
        <f>IF(G13="","","Q-"&amp;TEXT(ROW()-4,"000"))</f>
        <v/>
      </c>
      <c r="B13" s="41" t="n"/>
      <c r="C13" s="41" t="n"/>
      <c r="D13" s="41" t="n"/>
      <c r="E13" s="42" t="n"/>
      <c r="F13" s="41" t="inlineStr">
        <is>
          <t>Data</t>
        </is>
      </c>
      <c r="G13" s="41" t="inlineStr">
        <is>
          <t>Can we get sample syllabi and transcript, and does the equivalency database store why a decision was made?</t>
        </is>
      </c>
      <c r="H13" s="43" t="inlineStr">
        <is>
          <t>BU policy: Neither is public, and BU doesn’t say whether reasons are stored.
Assumption: Use synthetic samples. Store a reason code with every decision in your own equivalency table.</t>
        </is>
      </c>
      <c r="I13" s="41" t="n"/>
      <c r="J13" s="35" t="inlineStr">
        <is>
          <t>High</t>
        </is>
      </c>
      <c r="K13" s="41" t="n"/>
      <c r="L13" s="44" t="n"/>
      <c r="M13" s="45" t="n"/>
      <c r="N13" s="43" t="n"/>
      <c r="O13" s="46" t="n"/>
    </row>
    <row r="14" ht="24.05" customHeight="1" s="25">
      <c r="A14" s="34">
        <f>IF(G14="","","Q-"&amp;TEXT(ROW()-4,"000"))</f>
        <v/>
      </c>
      <c r="B14" s="41" t="n"/>
      <c r="C14" s="41" t="n"/>
      <c r="D14" s="41" t="n"/>
      <c r="E14" s="42" t="n"/>
      <c r="F14" s="41" t="inlineStr">
        <is>
          <t>Success</t>
        </is>
      </c>
      <c r="G14" s="41" t="inlineStr">
        <is>
          <t>What would make the department say “this saved us time”?</t>
        </is>
      </c>
      <c r="H14" s="43" t="inlineStr">
        <is>
          <t>Assumption: Evaluators open a case and find the comparison already done: outcomes covered and missing, side by side, plus past decisions. Approving takes under 2 minutes instead of 12. They also stop answering “where is my credit?” emails.</t>
        </is>
      </c>
      <c r="I14" s="41" t="inlineStr">
        <is>
          <t>Gives our team a concrete outcome to demonstrate.</t>
        </is>
      </c>
      <c r="J14" s="41" t="n"/>
      <c r="K14" s="41" t="n"/>
      <c r="L14" s="44" t="n"/>
      <c r="M14" s="45" t="n"/>
      <c r="N14" s="43" t="n"/>
      <c r="O14" s="46" t="n"/>
    </row>
    <row r="15" ht="24.05" customHeight="1" s="25">
      <c r="A15" s="34">
        <f>IF(G15="","","Q-"&amp;TEXT(ROW()-4,"000"))</f>
        <v/>
      </c>
      <c r="B15" s="41" t="n"/>
      <c r="C15" s="41" t="n"/>
      <c r="D15" s="41" t="n"/>
      <c r="E15" s="42" t="n"/>
      <c r="F15" s="41" t="inlineStr">
        <is>
          <t>Rules</t>
        </is>
      </c>
      <c r="G15" s="41" t="inlineStr">
        <is>
          <t>Can department evaluators accept bulk approvals for high-confidence match tiers (&gt;90%), or must every single 'maybe' course undergo manual single-click review?</t>
        </is>
      </c>
      <c r="H15" s="43" t="inlineStr">
        <is>
          <t>Assumption: Yes, as a reviewed batch. The evaluator sees a list of matches above 90% and approves them together, with the option to open any one. Each approval is still logged per course. Matches below 90% are reviewed one by one.</t>
        </is>
      </c>
      <c r="I15" s="41" t="n"/>
      <c r="J15" s="41" t="n"/>
      <c r="K15" s="41" t="n"/>
      <c r="L15" s="44" t="n"/>
      <c r="M15" s="45" t="n"/>
      <c r="N15" s="43" t="n"/>
      <c r="O15" s="46" t="n"/>
    </row>
    <row r="16" ht="35.4" customHeight="1" s="25">
      <c r="A16" s="34">
        <f>IF(G16="","","Q-"&amp;TEXT(ROW()-4,"000"))</f>
        <v/>
      </c>
      <c r="B16" s="41" t="n"/>
      <c r="C16" s="41" t="n"/>
      <c r="D16" s="41" t="n"/>
      <c r="E16" s="42" t="n"/>
      <c r="F16" s="41" t="inlineStr">
        <is>
          <t>Business outcome</t>
        </is>
      </c>
      <c r="G16" s="41" t="inlineStr">
        <is>
          <t>What is the biggest problem you want us to solve?Is the biggest pain evaluation delays, repeated manual work, missing syllabi, or students not knowing their credit status?</t>
        </is>
      </c>
      <c r="H16" s="43" t="inlineStr">
        <is>
          <t>Evaluation delays, driven by missing syllabi and repeated manual comparison. Students not knowing their status is the most visible symptom.</t>
        </is>
      </c>
      <c r="I16" s="41" t="inlineStr">
        <is>
          <t>Identifies the highest-value problem rather than trying to automate everything.</t>
        </is>
      </c>
      <c r="J16" s="41" t="n"/>
      <c r="K16" s="41" t="n"/>
      <c r="L16" s="44" t="n"/>
      <c r="M16" s="45" t="n"/>
      <c r="N16" s="43" t="n"/>
      <c r="O16" s="46" t="n"/>
    </row>
    <row r="17" ht="69.45" customHeight="1" s="25">
      <c r="A17" s="34">
        <f>IF(G17="","","Q-"&amp;TEXT(ROW()-4,"000"))</f>
        <v/>
      </c>
      <c r="B17" s="41" t="n"/>
      <c r="C17" s="41" t="n"/>
      <c r="D17" s="41" t="n"/>
      <c r="E17" s="42" t="n"/>
      <c r="F17" s="41" t="inlineStr">
        <is>
          <t>evidence</t>
        </is>
      </c>
      <c r="G17" s="41" t="inlineStr">
        <is>
          <t>Can you walk us through one recent transfer credit evaluation from beginning to end?</t>
        </is>
      </c>
      <c r="H17" s="43" t="inlineStr">
        <is>
          <t>BU policy: BU publishes an example of one student’s record over time:
Fall courses were all evaluated and credit was posted. 
bu
Newly added spring courses appear as “Rejected” because they’re not yet reviewed.
Some courses post as direct equivalents while others stay under review or need more documents.
Finally, all evaluations are posted, with one course not accepted and showing TX</t>
        </is>
      </c>
      <c r="I17" s="41" t="inlineStr">
        <is>
          <t>Reveals the actual workflow rather than relying only on the documented workflow.</t>
        </is>
      </c>
      <c r="J17" s="41" t="n"/>
      <c r="K17" s="41" t="n"/>
      <c r="L17" s="44" t="n"/>
      <c r="M17" s="45" t="n"/>
      <c r="N17" s="43" t="n"/>
      <c r="O17" s="46" t="n"/>
    </row>
    <row r="18" ht="35.4" customHeight="1" s="25">
      <c r="A18" s="34">
        <f>IF(G18="","","Q-"&amp;TEXT(ROW()-4,"000"))</f>
        <v/>
      </c>
      <c r="B18" s="41" t="n"/>
      <c r="C18" s="41" t="n"/>
      <c r="D18" s="41" t="n"/>
      <c r="E18" s="42" t="n"/>
      <c r="F18" s="41" t="inlineStr">
        <is>
          <t>Baseline</t>
        </is>
      </c>
      <c r="G18" s="41" t="inlineStr">
        <is>
          <t>How long does a typical evaluation take, and what causes the longest delays?How does the duration vary between an existing course match and a course requiring a new review?</t>
        </is>
      </c>
      <c r="H18" s="43" t="inlineStr">
        <is>
          <t>Assumption: About 7 days for an existing match and about 60 for a new review. The longest delays come from missing or incomplete syllabi, waiting in faculty queues, and peak volume before the semester starts. BU itself notes a high volume of incoming evaluations can cause delays</t>
        </is>
      </c>
      <c r="I18" s="41" t="inlineStr">
        <is>
          <t>Establishes the baseline against which we can measure improvement.</t>
        </is>
      </c>
      <c r="J18" s="41" t="n"/>
      <c r="K18" s="41" t="n"/>
      <c r="L18" s="44" t="n"/>
      <c r="M18" s="45" t="n"/>
      <c r="N18" s="43" t="n"/>
      <c r="O18" s="46" t="n"/>
    </row>
    <row r="19" ht="24.05" customHeight="1" s="25">
      <c r="A19" s="34">
        <f>IF(G19="","","Q-"&amp;TEXT(ROW()-4,"000"))</f>
        <v/>
      </c>
      <c r="B19" s="41" t="n"/>
      <c r="C19" s="41" t="n"/>
      <c r="D19" s="41" t="n"/>
      <c r="E19" s="42" t="n"/>
      <c r="F19" s="41" t="inlineStr">
        <is>
          <t>Volume and bottlenecks</t>
        </is>
      </c>
      <c r="G19" s="41" t="inlineStr">
        <is>
          <t>Where does the largest amount of manual work occur?Is it transcript processing, syllabus collection, course comparison, credit conversion, reviewer coordination, or posting results?</t>
        </is>
      </c>
      <c r="H19" s="43" t="inlineStr">
        <is>
          <t>Assumption: In order: course comparison, then syllabus collection and follow-up, then transcript data entry. Credit conversion and posting are mostly rules-based.</t>
        </is>
      </c>
      <c r="I19" s="41" t="inlineStr">
        <is>
          <t>Helps identify which task to automate first.</t>
        </is>
      </c>
      <c r="J19" s="41" t="n"/>
      <c r="K19" s="41" t="n"/>
      <c r="L19" s="44" t="n"/>
      <c r="M19" s="45" t="n"/>
      <c r="N19" s="43" t="n"/>
      <c r="O19" s="46" t="n"/>
    </row>
    <row r="20" ht="35.4" customHeight="1" s="25">
      <c r="A20" s="34">
        <f>IF(G20="","","Q-"&amp;TEXT(ROW()-4,"000"))</f>
        <v/>
      </c>
      <c r="B20" s="41" t="n"/>
      <c r="C20" s="41" t="n"/>
      <c r="D20" s="41" t="n"/>
      <c r="E20" s="42" t="n"/>
      <c r="F20" s="41" t="n"/>
      <c r="G20" s="41" t="n"/>
      <c r="H20" s="43" t="inlineStr">
        <is>
          <t>BU policy: By content and level, judged from the full syllabus.
Assumption: Weighted in this order: topics and learning outcomes, level and prerequisites, labs, contact hours or credits, then assessments. The grade only determines eligibility, not equivalence</t>
        </is>
      </c>
      <c r="I20" s="41" t="n"/>
      <c r="J20" s="41" t="n"/>
      <c r="K20" s="41" t="n"/>
      <c r="L20" s="44" t="n"/>
      <c r="M20" s="45" t="n"/>
      <c r="N20" s="43" t="n"/>
      <c r="O20" s="46" t="n"/>
    </row>
    <row r="21" ht="69" customHeight="1" s="25">
      <c r="A21" s="34">
        <f>IF(G21="","","Q-"&amp;TEXT(ROW()-4,"000"))</f>
        <v/>
      </c>
      <c r="B21" s="41" t="n"/>
      <c r="C21" s="41" t="n"/>
      <c r="D21" s="41" t="n"/>
      <c r="E21" s="42" t="n"/>
      <c r="F21" s="41" t="n"/>
      <c r="G21" s="41" t="n"/>
      <c r="H21" s="43" t="inlineStr">
        <is>
          <t>BU policy: Evaluators use Transferology and BU’s equivalency guide, MyBU Student, and the BU Bulletin. The Bulletin is the only one that’s public.
Assumption: There are no APIs. Use the public Bulletin and catalogs, plus synthetic data, and simulate a CSV export in MyBU’s field</t>
        </is>
      </c>
      <c r="I21" s="41" t="n"/>
      <c r="J21" s="41" t="n"/>
      <c r="K21" s="41" t="n"/>
      <c r="L21" s="44" t="n"/>
      <c r="M21" s="45" t="n"/>
      <c r="N21" s="43" t="n"/>
      <c r="O21" s="46" t="n"/>
    </row>
    <row r="22" ht="60" customHeight="1" s="25">
      <c r="A22" s="34">
        <f>IF(G22="","","Q-"&amp;TEXT(ROW()-4,"000"))</f>
        <v/>
      </c>
      <c r="B22" s="41" t="n"/>
      <c r="C22" s="41" t="n"/>
      <c r="D22" s="41" t="n"/>
      <c r="E22" s="42" t="n"/>
      <c r="F22" s="41" t="inlineStr">
        <is>
          <t>Course matching</t>
        </is>
      </c>
      <c r="G22" s="41" t="inlineStr">
        <is>
          <t>How do evaluators decide whether two courses are equivalent today?Which factors carry the most weight: course descriptions, learning outcomes, topics, credit hours, grades, or other criteria?</t>
        </is>
      </c>
      <c r="H22" s="43" t="inlineStr">
        <is>
          <t>BU policy: Students first ask the professor or department; failing that, a current syllabus from another professor teaching the same course is accepted if the title and code match. Incomplete syllabi trigger an emailed “additional materials” (TM) request. Course descriptions aren’t accepted as evidence. 
bu
Assumption:
Who contacts the student: Credit Evaluation.
Reminders: at day 7, 21 and 45.
Preliminary review: descriptions may be used for preliminary AI suggestions only.</t>
        </is>
      </c>
      <c r="I22" s="41" t="inlineStr">
        <is>
          <t>Defines the matching logic and the evidence an AI recommendation must provide.</t>
        </is>
      </c>
      <c r="J22" s="41" t="n"/>
      <c r="K22" s="41" t="n"/>
      <c r="L22" s="44" t="n"/>
      <c r="M22" s="45" t="n"/>
      <c r="N22" s="43" t="n"/>
      <c r="O22" s="46" t="n"/>
    </row>
    <row r="23" ht="70.5" customHeight="1" s="25">
      <c r="A23" s="34">
        <f>IF(G23="","","Q-"&amp;TEXT(ROW()-4,"000"))</f>
        <v/>
      </c>
      <c r="B23" s="41" t="n"/>
      <c r="C23" s="41" t="n"/>
      <c r="D23" s="41" t="n"/>
      <c r="E23" s="42" t="n"/>
      <c r="F23" s="41" t="inlineStr">
        <is>
          <t>Existing systems</t>
        </is>
      </c>
      <c r="G23" s="41" t="inlineStr">
        <is>
          <t>Which systems and data sources do evaluators use, and which are available to our solution?Can we access the equivalency database, historical decisions, BU course catalogue, and relevant syllabi? Are APIs or exports available?</t>
        </is>
      </c>
      <c r="H23" s="43" t="inlineStr">
        <is>
          <t>Assumption:
Automate: eligibility checks (grade, course type, age, 68-unit cap), quarter conversion, applying existing equivalencies, reminders and status updates.
Evaluator only: every new equivalency decision.
AI recommendations: evaluators would accept them if each shows its evidence, a confidence level and an override</t>
        </is>
      </c>
      <c r="I23" s="41" t="inlineStr">
        <is>
          <t>Determines what we can build and integrate during the hackathon.</t>
        </is>
      </c>
      <c r="J23" s="41" t="n"/>
      <c r="K23" s="41" t="n"/>
      <c r="L23" s="44" t="n"/>
      <c r="M23" s="45" t="n"/>
      <c r="N23" s="43" t="n"/>
      <c r="O23" s="46" t="n"/>
    </row>
    <row r="24" ht="60" customHeight="1" s="25">
      <c r="A24" s="34">
        <f>IF(G24="","","Q-"&amp;TEXT(ROW()-4,"000"))</f>
        <v/>
      </c>
      <c r="B24" s="41" t="n"/>
      <c r="C24" s="41" t="n"/>
      <c r="D24" s="41" t="n"/>
      <c r="E24" s="42" t="n"/>
      <c r="F24" s="41" t="inlineStr">
        <is>
          <t>Missing documents</t>
        </is>
      </c>
      <c r="G24" s="41" t="inlineStr">
        <is>
          <t>What happens when a syllabus is missing, incomplete, or unavailable?Who contacts the student, how are reminders handled, and can other documents be used for preliminary review?</t>
        </is>
      </c>
      <c r="H24" s="43" t="inlineStr">
        <is>
          <t>Assumption:
Quarter credits: multiply by 2/3, round to 2 decimals, and convert course by course.
Grades: C or better; C- and below are ineligible.
Elective credit: see #27.
Duplicate courses: the second one earns elective credit only.
Conflicting past decisions: the newest decision for the same catalog years wins, and the conflict is flagged for the department.</t>
        </is>
      </c>
      <c r="I24" s="41" t="inlineStr">
        <is>
          <t>Tests whether document collection is a major cause of delay.</t>
        </is>
      </c>
      <c r="J24" s="35" t="inlineStr">
        <is>
          <t>High</t>
        </is>
      </c>
      <c r="K24" s="41" t="n"/>
      <c r="L24" s="44" t="n"/>
      <c r="M24" s="45" t="n"/>
      <c r="N24" s="43" t="n"/>
      <c r="O24" s="46" t="n"/>
    </row>
    <row r="25" ht="24.05" customHeight="1" s="25">
      <c r="A25" s="34">
        <f>IF(G25="","","Q-"&amp;TEXT(ROW()-4,"000"))</f>
        <v/>
      </c>
      <c r="B25" s="41" t="n"/>
      <c r="C25" s="41" t="n"/>
      <c r="D25" s="41" t="n"/>
      <c r="E25" s="42" t="n"/>
      <c r="F25" s="41" t="inlineStr">
        <is>
          <t>Decision authority</t>
        </is>
      </c>
      <c r="G25" s="41" t="inlineStr">
        <is>
          <t>Which decisions can be automated, and which must always be made by an academic evaluator?Would evaluators accept AI-generated recommendations if they included evidence, confidence scores, and the ability to override them?</t>
        </is>
      </c>
      <c r="H25" s="43" t="inlineStr">
        <is>
          <t>Assumption: All four of the options you list. Clear statuses, missing-document alerts with a specific action, and a next step with an estimated date. Most of all, a view separating posted (“secured”) credit from pending credit</t>
        </is>
      </c>
      <c r="I25" s="41" t="inlineStr">
        <is>
          <t>Keeps AI within the university's decision-making boundaries.</t>
        </is>
      </c>
      <c r="J25" s="41" t="n"/>
      <c r="K25" s="41" t="n"/>
      <c r="L25" s="44" t="n"/>
      <c r="M25" s="45" t="n"/>
      <c r="N25" s="43" t="n"/>
      <c r="O25" s="46" t="n"/>
    </row>
    <row r="26" ht="15.75" customHeight="1" s="25">
      <c r="A26" s="34">
        <f>IF(G26="","","Q-"&amp;TEXT(ROW()-4,"000"))</f>
        <v/>
      </c>
      <c r="B26" s="41" t="n"/>
      <c r="C26" s="41" t="n"/>
      <c r="D26" s="41" t="n"/>
      <c r="E26" s="42" t="n"/>
      <c r="F26" s="41" t="inlineStr">
        <is>
          <t>Exceptions</t>
        </is>
      </c>
      <c r="G26" s="41" t="inlineStr">
        <is>
          <t>Which exceptional cases are most difficult to handle correctly?How should we handle quarter-system credits, minimum grade requirements, elective credit, duplicate courses, and conflicting historical decisions?</t>
        </is>
      </c>
      <c r="H26" s="43" t="inlineStr">
        <is>
          <t>Assumption:
Data: synthetic only.
Processing: any cloud is fine for synthetic data.
Logs and prompts: no real names or IDs.
Integration: none. Simulate posting through a MyBU-style CSV export.</t>
        </is>
      </c>
      <c r="I26" s="41" t="inlineStr">
        <is>
          <t>Identifies important business rules and cases that can break a simple matching solution.</t>
        </is>
      </c>
      <c r="J26" s="41" t="n"/>
      <c r="K26" s="41" t="n"/>
      <c r="L26" s="44" t="n"/>
      <c r="M26" s="45" t="n"/>
      <c r="N26" s="43" t="n"/>
      <c r="O26" s="46" t="n"/>
    </row>
    <row r="27" ht="35.4" customHeight="1" s="25">
      <c r="A27" s="34">
        <f>IF(G27="","","Q-"&amp;TEXT(ROW()-4,"000"))</f>
        <v/>
      </c>
      <c r="B27" s="41" t="n"/>
      <c r="C27" s="41" t="n"/>
      <c r="D27" s="41" t="n"/>
      <c r="E27" s="42" t="n"/>
      <c r="F27" s="41" t="inlineStr">
        <is>
          <t>Student experience</t>
        </is>
      </c>
      <c r="G27" s="41" t="inlineStr">
        <is>
          <t>What information do students need while their courses are pending?Would clear statuses, missing-document notifications, estimated next steps, or a view of confirmed versus pending credits address their biggest concerns?</t>
        </is>
      </c>
      <c r="H27" s="43" t="inlineStr">
        <is>
          <t>Assumption: Evaluation time saved, measured as evaluator time per course, provided recommendation quality holds: the top suggestion matches the decision at least 80% of the time and wrongly suggested credit stays at or below 2%</t>
        </is>
      </c>
      <c r="I27" s="41" t="inlineStr">
        <is>
          <t>Helps define the transparency component without assuming a particular interface is needed.</t>
        </is>
      </c>
      <c r="J27" s="41" t="n"/>
      <c r="K27" s="41" t="n"/>
      <c r="L27" s="44" t="n"/>
      <c r="M27" s="45" t="n"/>
      <c r="N27" s="43" t="n"/>
      <c r="O27" s="46" t="n"/>
    </row>
    <row r="28" ht="15.75" customHeight="1" s="25">
      <c r="A28" s="34">
        <f>IF(G28="","","Q-"&amp;TEXT(ROW()-4,"000"))</f>
        <v/>
      </c>
      <c r="B28" s="41" t="n"/>
      <c r="C28" s="41" t="n"/>
      <c r="D28" s="41" t="n"/>
      <c r="E28" s="42" t="n"/>
      <c r="F28" s="41" t="inlineStr">
        <is>
          <t>Security and integration</t>
        </is>
      </c>
      <c r="G28" s="41" t="inlineStr">
        <is>
          <t>What data privacy, security, and integration restrictions must our solution follow?Which sample datasets may we use, where may documents be processed, and is the hackathon prototype expected to integrate with MyBU Student or only simulate the final posting?.</t>
        </is>
      </c>
      <c r="H28" s="43" t="inlineStr">
        <is>
          <t>BU policy: Through the TS status in the portal, with email for “additional materials” requests. Students upload PDFs to the MyBU Applicant Portal, choosing “Syllabi” as the document type. 
bu
Assumption: Your tool adds email and portal alerts with a direct upload link.</t>
        </is>
      </c>
      <c r="I28" s="41" t="inlineStr">
        <is>
          <t>Prevents designing something that cannot be demonstrated or deployed within the permitted environment.</t>
        </is>
      </c>
      <c r="J28" s="35" t="inlineStr">
        <is>
          <t>High</t>
        </is>
      </c>
      <c r="K28" s="41" t="n"/>
      <c r="L28" s="44" t="n"/>
      <c r="M28" s="45" t="n"/>
      <c r="N28" s="43" t="n"/>
      <c r="O28" s="46" t="n"/>
    </row>
    <row r="29" ht="35.4" customHeight="1" s="25">
      <c r="A29" s="34">
        <f>IF(G29="","","Q-"&amp;TEXT(ROW()-4,"000"))</f>
        <v/>
      </c>
      <c r="B29" s="41" t="n"/>
      <c r="C29" s="41" t="n"/>
      <c r="D29" s="41" t="n"/>
      <c r="E29" s="42" t="n"/>
      <c r="F29" s="41" t="inlineStr">
        <is>
          <t>Success criteria</t>
        </is>
      </c>
      <c r="G29" s="41" t="inlineStr">
        <is>
          <t>At the end of the hackathon, what result would make you say this solution is genuinely valuable?Which metric matters most: evaluation time saved, recommendation quality, fewer manual comparisons, clearer student status, or fewer follow-ups?</t>
        </is>
      </c>
      <c r="H29" s="43" t="inlineStr">
        <is>
          <t>BU policy: Past decisions surface through Transferology and BU’s equivalency guide.
Assumption: Your solution keeps its own equivalency table, with a “reusable” flag (see the earlier answer on reusable decisions), and checks it first for every new transcript.</t>
        </is>
      </c>
      <c r="I29" s="41" t="inlineStr">
        <is>
          <t>Gives our team a concrete outcome to demonstrate.</t>
        </is>
      </c>
      <c r="J29" s="41" t="n"/>
      <c r="K29" s="41" t="n"/>
      <c r="L29" s="44" t="n"/>
      <c r="M29" s="45" t="n"/>
      <c r="N29" s="43" t="n"/>
      <c r="O29" s="46" t="n"/>
    </row>
    <row r="30" ht="15.75" customHeight="1" s="25">
      <c r="A30" s="34">
        <f>IF(G30="","","Q-"&amp;TEXT(ROW()-4,"000"))</f>
        <v/>
      </c>
      <c r="B30" s="41" t="n"/>
      <c r="C30" s="41" t="n"/>
      <c r="D30" s="41" t="n"/>
      <c r="E30" s="42" t="n"/>
      <c r="F30" s="41" t="n"/>
      <c r="G30" s="48" t="n"/>
      <c r="H30" s="43" t="inlineStr">
        <is>
          <t>The workbook doesn’t have them. I can add a Course Outcomes sheet covering all 117 courses. It would include each course’s description, where available, from the catalog links, plus 3–5 learning outcomes per course labeled “synthetic – derived”. Here’s an example for one matched set:
Course	Sample outcomes (synthetic)
BU CAS CS 111	Write programs with functions, conditionals and loops; use recursion; work with lists and strings; trace and debug code
Northeastern CS 2000	Design programs from data definitions; write and test functions; use conditionals and lists; apply a systematic design process
NYU CSCI-UA 101	Write programs with variables, control flow and functions; use arrays; apply basic problem-solving and debugging</t>
        </is>
      </c>
      <c r="I30" s="41" t="n"/>
      <c r="J30" s="41" t="n"/>
      <c r="K30" s="41" t="n"/>
      <c r="L30" s="44" t="n"/>
      <c r="M30" s="45" t="n"/>
      <c r="N30" s="43" t="n"/>
      <c r="O30" s="46" t="n"/>
    </row>
    <row r="31" ht="15.75" customHeight="1" s="25">
      <c r="A31" s="34">
        <f>IF(G31="","","Q-"&amp;TEXT(ROW()-4,"000"))</f>
        <v/>
      </c>
      <c r="B31" s="41" t="n"/>
      <c r="C31" s="41" t="n"/>
      <c r="D31" s="41" t="n"/>
      <c r="E31" s="42" t="n"/>
      <c r="F31" s="41" t="inlineStr">
        <is>
          <t>Existing systems</t>
        </is>
      </c>
      <c r="G31" s="41" t="inlineStr">
        <is>
          <t>How are students currently notified when a syllabus is missing, and through what interface should they upload it?</t>
        </is>
      </c>
      <c r="H31" s="43" t="inlineStr">
        <is>
          <t>BU policy:
Yes: a specific BU equivalent course.
Elective: a BU code ending in “TR”.
No: “TFRGEN NOCRDT”, 0 units, code TX.
Once evaluated, every course shows a “T” grade, including no-credit courses. “T” means “evaluated”, not “yes”. Units are always the units the student took, converted for quarter systems; the BU course’s own credits don’t matter.
Examples:
Eligible elective: a 3-credit semester film course with a B and no BU equivalent → 3 elective units.
Quarter-system elective: a 4-quarter-credit psychology course with a B and no equivalent → 4 × 2/3 = 2.67 elective units.
Grade too low: the same course with a C- → 0 units, TX.
Remedial: a remedial math course with an A → 0 units, TX.</t>
        </is>
      </c>
      <c r="I31" s="41" t="n"/>
      <c r="J31" s="41" t="n"/>
      <c r="K31" s="41" t="n"/>
      <c r="L31" s="44" t="n"/>
      <c r="M31" s="45" t="n"/>
      <c r="N31" s="43" t="n"/>
      <c r="O31" s="46" t="n"/>
    </row>
    <row r="32" ht="15.75" customHeight="1" s="25">
      <c r="A32" s="34">
        <f>IF(G32="","","Q-"&amp;TEXT(ROW()-4,"000"))</f>
        <v/>
      </c>
      <c r="B32" s="41" t="n"/>
      <c r="C32" s="41" t="n"/>
      <c r="D32" s="41" t="n"/>
      <c r="E32" s="42" t="n"/>
      <c r="F32" s="41" t="inlineStr">
        <is>
          <t>Existing systems</t>
        </is>
      </c>
      <c r="G32" s="41" t="inlineStr">
        <is>
          <t>Is there a centralized database or repository where new equivalency decisions should be stored for future automatic matching?</t>
        </is>
      </c>
      <c r="H32" s="43" t="inlineStr">
        <is>
          <t>Build Synthetic data</t>
        </is>
      </c>
      <c r="I32" s="41" t="n"/>
      <c r="J32" s="41" t="n"/>
      <c r="K32" s="41" t="n"/>
      <c r="L32" s="44" t="n"/>
      <c r="M32" s="45" t="n"/>
      <c r="N32" s="43" t="n"/>
      <c r="O32" s="46" t="n"/>
    </row>
    <row r="33" ht="15.75" customHeight="1" s="25">
      <c r="A33" s="34">
        <f>IF(G33="","","Q-"&amp;TEXT(ROW()-4,"000"))</f>
        <v/>
      </c>
      <c r="B33" s="41" t="n"/>
      <c r="C33" s="41" t="n"/>
      <c r="D33" s="41" t="n"/>
      <c r="E33" s="42" t="n"/>
      <c r="F33" s="41" t="inlineStr">
        <is>
          <t>Data</t>
        </is>
      </c>
      <c r="G33" s="24" t="inlineStr">
        <is>
          <t>Could you please share the university-wise and subject-wise course structure. Currently, we can see only the subject codes and links. Since each link contains multiple hyperlinks, it is difficult to identify the course objectives. It would be helpful if the course objectives could also be provided along with the course structure for each subject code</t>
        </is>
      </c>
      <c r="H33" s="43" t="inlineStr">
        <is>
          <t>Build Synthetic data</t>
        </is>
      </c>
      <c r="I33" s="41" t="n"/>
      <c r="J33" s="41" t="n"/>
      <c r="K33" s="41" t="n"/>
      <c r="L33" s="44" t="n"/>
      <c r="M33" s="45" t="n"/>
      <c r="N33" s="43" t="n"/>
      <c r="O33" s="46" t="n"/>
    </row>
    <row r="34" ht="15.75" customHeight="1" s="25">
      <c r="A34" s="34">
        <f>IF(G34="","","Q-"&amp;TEXT(ROW()-4,"000"))</f>
        <v/>
      </c>
      <c r="B34" s="41" t="n"/>
      <c r="C34" s="41" t="n"/>
      <c r="D34" s="41" t="n"/>
      <c r="E34" s="42" t="n"/>
      <c r="F34" s="41" t="inlineStr">
        <is>
          <t>evidence</t>
        </is>
      </c>
      <c r="G34" s="41" t="inlineStr">
        <is>
          <t xml:space="preserve">Could you tell for elective credit ,how to calcualte and example, 
What makes it a yes(T), an elective, or a no(0)?
</t>
        </is>
      </c>
      <c r="H34" s="43" t="inlineStr">
        <is>
          <t>BU policy:
Yes: a specific BU equivalent course.
Elective: a BU code ending in “TR”.
No: “TFRGEN NOCRDT”, 0 units, code TX.
Once evaluated, every course shows a “T” grade, including no-credit courses. “T” means “evaluated”, not “yes”. Units are always the units the student took, converted for quarter systems; the BU course’s own credits don’t matter.</t>
        </is>
      </c>
      <c r="I34" s="41" t="n"/>
      <c r="J34" s="41" t="inlineStr">
        <is>
          <t>HIGH</t>
        </is>
      </c>
      <c r="K34" s="41" t="n"/>
      <c r="L34" s="44" t="n"/>
      <c r="M34" s="45" t="n"/>
      <c r="N34" s="43" t="n"/>
      <c r="O34" s="46" t="n"/>
    </row>
    <row r="35" ht="15.75" customHeight="1" s="25">
      <c r="A35" s="34">
        <f>IF(G35="","","Q-"&amp;TEXT(ROW()-4,"000"))</f>
        <v/>
      </c>
      <c r="B35" s="41" t="n"/>
      <c r="C35" s="41" t="n"/>
      <c r="D35" s="41" t="n"/>
      <c r="E35" s="42" t="n"/>
      <c r="F35" s="41" t="inlineStr">
        <is>
          <t>Data</t>
        </is>
      </c>
      <c r="G35" s="41" t="inlineStr">
        <is>
          <t>Provide sample  data for students with course</t>
        </is>
      </c>
      <c r="H35" s="43" t="inlineStr">
        <is>
          <t>Build Synthetic data</t>
        </is>
      </c>
      <c r="I35" s="41" t="n"/>
      <c r="J35" s="41" t="inlineStr">
        <is>
          <t>HIGH</t>
        </is>
      </c>
      <c r="K35" s="41" t="n"/>
      <c r="L35" s="44" t="n"/>
      <c r="M35" s="45" t="n"/>
      <c r="N35" s="43" t="n"/>
      <c r="O35" s="46" t="n"/>
    </row>
    <row r="36" ht="15" customHeight="1" s="25">
      <c r="A36" s="34">
        <f>IF(G36="","","Q-"&amp;TEXT(ROW()-4,"000"))</f>
        <v/>
      </c>
      <c r="B36" s="41" t="n"/>
      <c r="C36" s="41" t="n"/>
      <c r="D36" s="41" t="n"/>
      <c r="E36" s="42" t="n"/>
      <c r="F36" s="41" t="inlineStr">
        <is>
          <t>evidence</t>
        </is>
      </c>
      <c r="G36" s="41" t="inlineStr">
        <is>
          <t xml:space="preserve">once an evaluator approves a match, the next student from that course is matched without review.Is this happening now? </t>
        </is>
      </c>
      <c r="H36" s="43" t="inlineStr">
        <is>
          <t>BU policy:
Institution-wide: at most 68 external units can count, so the rest of the degree must be earned at BU.
Engineering: at least 48 upper-division units must be taken at BU.
Computer Science: Group C (CS 320, CS 332 and CS 350) must be taken at BU.
Biology: at least five BI courses beyond BI 107/108 must be taken at BU.
Economics: at most four 200-level-or-above courses can be transferred after matriculation.
These rules block the requirement, not the credit. The units can still count as elective credit.</t>
        </is>
      </c>
      <c r="I36" s="41" t="n"/>
      <c r="J36" s="41" t="inlineStr">
        <is>
          <t>HIGH</t>
        </is>
      </c>
      <c r="K36" s="41" t="n"/>
      <c r="L36" s="44" t="n"/>
      <c r="M36" s="45" t="n"/>
      <c r="N36" s="43" t="n"/>
      <c r="O36" s="46" t="n"/>
    </row>
    <row r="37" ht="15.75" customHeight="1" s="25">
      <c r="A37" s="34">
        <f>IF(G37="","","Q-"&amp;TEXT(ROW()-4,"000"))</f>
        <v/>
      </c>
      <c r="B37" s="41" t="n"/>
      <c r="C37" s="41" t="n"/>
      <c r="D37" s="41" t="n"/>
      <c r="E37" s="42" t="n"/>
      <c r="F37" s="41" t="inlineStr">
        <is>
          <t>Security and integration</t>
        </is>
      </c>
      <c r="G37" s="41" t="inlineStr">
        <is>
          <t xml:space="preserve">What privacy rules (FERPA) apply to syllabi and transcripts if processed by an AI service?
</t>
        </is>
      </c>
      <c r="H37" s="43" t="inlineStr">
        <is>
          <t>BU policy and law: Transcripts are education records protected by FERPA. Sharing them with an outside AI service needs a valid exception, typically a contract making the vendor act as a “school official”, with limits on how the data is used and kept. Syllabi are course documents, not student records, unless they contain student information.
Assumption: The hackathon uses synthetic data only.</t>
        </is>
      </c>
      <c r="I37" s="41" t="n"/>
      <c r="J37" s="41" t="inlineStr">
        <is>
          <t>HIGH</t>
        </is>
      </c>
      <c r="K37" s="41" t="n"/>
      <c r="L37" s="44" t="n"/>
      <c r="M37" s="45" t="n"/>
      <c r="N37" s="43" t="n"/>
      <c r="O37" s="46" t="n"/>
    </row>
    <row r="38" ht="15.75" customHeight="1" s="25">
      <c r="A38" s="34">
        <f>IF(G38="","","Q-"&amp;TEXT(ROW()-4,"000"))</f>
        <v/>
      </c>
      <c r="B38" s="41" t="n"/>
      <c r="C38" s="41" t="n"/>
      <c r="D38" s="41" t="n"/>
      <c r="E38" s="42" t="n"/>
      <c r="F38" s="41" t="inlineStr">
        <is>
          <t>Rules</t>
        </is>
      </c>
      <c r="G38" s="41" t="inlineStr">
        <is>
          <t xml:space="preserve">What is residency Rule? Which residency rules block transfer (e.g. CS Group C, the 5 BI courses for Biology)?
</t>
        </is>
      </c>
      <c r="H38" s="43" t="inlineStr">
        <is>
          <t>BU policy:
Institution-wide: at most 68 external units can count, so the rest of the degree must be earned at BU.
Engineering: at least 48 upper-division units must be taken at BU.
Computer Science: Group C (CS 320, CS 332 and CS 350) must be taken at BU.
Biology: at least five BI courses beyond BI 107/108 must be taken at BU.
Economics: at most four 200-level-or-above courses can be transferred after matriculation.
These rules block the requirement, not the credit. The units can still count as elective credit.</t>
        </is>
      </c>
      <c r="I38" s="41" t="n"/>
      <c r="J38" s="41" t="inlineStr">
        <is>
          <t>HIGH</t>
        </is>
      </c>
      <c r="K38" s="41" t="n"/>
      <c r="L38" s="44" t="n"/>
      <c r="M38" s="45" t="n"/>
      <c r="N38" s="43" t="n"/>
      <c r="O38" s="46" t="n"/>
    </row>
    <row r="39" ht="15.75" customHeight="1" s="25">
      <c r="A39" s="34">
        <f>IF(G39="","","Q-"&amp;TEXT(ROW()-4,"000"))</f>
        <v/>
      </c>
      <c r="B39" s="41" t="n"/>
      <c r="C39" s="41" t="n"/>
      <c r="D39" s="41" t="n"/>
      <c r="E39" s="42" t="n"/>
      <c r="F39" s="41" t="inlineStr">
        <is>
          <t>DATA</t>
        </is>
      </c>
      <c r="G39" s="41" t="inlineStr">
        <is>
          <t xml:space="preserve">How often does a student fail to find a syllabus? What happens then?
</t>
        </is>
      </c>
      <c r="H39" s="43" t="inlineStr">
        <is>
          <t>BU policy: It’s rare to get course credit without a syllabus. The course stays at TS until the one-year deadline, then needs an Outstanding Transfer Credit Review. 
bu
Assumption: About 10% of “maybe” courses never get a syllabus.</t>
        </is>
      </c>
      <c r="I39" s="41" t="n"/>
      <c r="J39" s="41" t="inlineStr">
        <is>
          <t>HIGH</t>
        </is>
      </c>
      <c r="K39" s="41" t="n"/>
      <c r="L39" s="44" t="n"/>
      <c r="M39" s="45" t="n"/>
      <c r="N39" s="43" t="n"/>
      <c r="O39" s="46" t="n"/>
    </row>
    <row r="40" ht="15.75" customHeight="1" s="25">
      <c r="A40" s="34">
        <f>IF(G40="","","Q-"&amp;TEXT(ROW()-4,"000"))</f>
        <v/>
      </c>
      <c r="B40" s="41" t="n"/>
      <c r="C40" s="41" t="n"/>
      <c r="D40" s="41" t="n"/>
      <c r="E40" s="42" t="n"/>
      <c r="F40" s="41" t="inlineStr">
        <is>
          <t>Business numbers / KPIs</t>
        </is>
      </c>
      <c r="G40" s="41" t="inlineStr">
        <is>
          <t xml:space="preserve">How many department evaluators review courses, and how many reviews does each do per term?
</t>
        </is>
      </c>
      <c r="H40" s="43" t="inlineStr">
        <is>
          <t>Two evaluators per department across the six departments (12 in total), each doing about 120 reviews per term.</t>
        </is>
      </c>
      <c r="I40" s="41" t="n"/>
      <c r="J40" s="41" t="n"/>
      <c r="K40" s="41" t="n"/>
      <c r="L40" s="44" t="n"/>
      <c r="M40" s="45" t="n"/>
      <c r="N40" s="43" t="n"/>
      <c r="O40" s="46" t="n"/>
    </row>
    <row r="41" ht="15.75" customHeight="1" s="25">
      <c r="A41" s="34" t="inlineStr">
        <is>
          <t>Q-037</t>
        </is>
      </c>
      <c r="B41" s="41" t="n"/>
      <c r="C41" s="41" t="inlineStr">
        <is>
          <t>THE SOLUTIONAUTS</t>
        </is>
      </c>
      <c r="D41" s="41" t="n"/>
      <c r="E41" s="42" t="n">
        <v>46325</v>
      </c>
      <c r="F41" s="41" t="inlineStr">
        <is>
          <t>Non-functional / performance</t>
        </is>
      </c>
      <c r="G41" s="49" t="inlineStr">
        <is>
          <t>How quickly must a student see their course-by-course status after uploading a transcript, and how fast must the evaluator workbench open a case?</t>
        </is>
      </c>
      <c r="H41" s="43" t="n"/>
      <c r="I41" s="49" t="inlineStr">
        <is>
          <t>Sets the performance requirement we test against. Team working assumption until answered: status in under 30 seconds per transcript; a case opens in under 2 seconds.</t>
        </is>
      </c>
      <c r="J41" s="41" t="inlineStr">
        <is>
          <t>High</t>
        </is>
      </c>
      <c r="K41" s="41" t="inlineStr">
        <is>
          <t>Business stakeholder (SPOC)</t>
        </is>
      </c>
      <c r="L41" s="44" t="n"/>
      <c r="M41" s="45" t="n"/>
      <c r="N41" s="43" t="n"/>
      <c r="O41" s="46" t="n"/>
    </row>
    <row r="42" ht="15.75" customHeight="1" s="25">
      <c r="A42" s="34" t="inlineStr">
        <is>
          <t>Q-038</t>
        </is>
      </c>
      <c r="B42" s="41" t="n"/>
      <c r="C42" s="41" t="inlineStr">
        <is>
          <t>THE SOLUTIONAUTS</t>
        </is>
      </c>
      <c r="D42" s="41" t="n"/>
      <c r="E42" s="42" t="n">
        <v>46325</v>
      </c>
      <c r="F42" s="41" t="inlineStr">
        <is>
          <t>Volume and bottlenecks</t>
        </is>
      </c>
      <c r="G42" s="49" t="inlineStr">
        <is>
          <t>What is the peak intake (transcripts per day in the weeks before a semester starts), and how many students and evaluators are online at the same time?</t>
        </is>
      </c>
      <c r="H42" s="43" t="n"/>
      <c r="I42" s="49" t="inlineStr">
        <is>
          <t>Sizes the load test and the 10x scaling plan. Team working assumption: 800 students a year arriving mostly in two peaks; about 100 transcripts on the busiest day; 12 evaluators.</t>
        </is>
      </c>
      <c r="J42" s="41" t="inlineStr">
        <is>
          <t>High</t>
        </is>
      </c>
      <c r="K42" s="41" t="inlineStr">
        <is>
          <t>Business stakeholder (SPOC)</t>
        </is>
      </c>
      <c r="L42" s="44" t="n"/>
      <c r="M42" s="45" t="n"/>
      <c r="N42" s="43" t="n"/>
      <c r="O42" s="46" t="n"/>
    </row>
    <row r="43" ht="15.75" customHeight="1" s="25">
      <c r="A43" s="34" t="inlineStr">
        <is>
          <t>Q-039</t>
        </is>
      </c>
      <c r="B43" s="41" t="n"/>
      <c r="C43" s="41" t="inlineStr">
        <is>
          <t>THE SOLUTIONAUTS</t>
        </is>
      </c>
      <c r="D43" s="41" t="n"/>
      <c r="E43" s="42" t="n">
        <v>46325</v>
      </c>
      <c r="F43" s="41" t="inlineStr">
        <is>
          <t>Non-functional / availability</t>
        </is>
      </c>
      <c r="G43" s="49" t="inlineStr">
        <is>
          <t>What availability and support hours are needed during the intake peaks? Is a short outage outside office hours acceptable?</t>
        </is>
      </c>
      <c r="H43" s="43" t="n"/>
      <c r="I43" s="49" t="inlineStr">
        <is>
          <t>Decides whether one instance is enough or we need redundancy. Team working assumption: business hours, a few hours of outage tolerated outside them.</t>
        </is>
      </c>
      <c r="J43" s="41" t="inlineStr">
        <is>
          <t>Medium</t>
        </is>
      </c>
      <c r="K43" s="41" t="inlineStr">
        <is>
          <t>Business stakeholder (SPOC)</t>
        </is>
      </c>
      <c r="L43" s="44" t="n"/>
      <c r="M43" s="45" t="n"/>
      <c r="N43" s="43" t="n"/>
      <c r="O43" s="46" t="n"/>
    </row>
    <row r="44" ht="15.75" customHeight="1" s="25">
      <c r="A44" s="34" t="inlineStr">
        <is>
          <t>Q-040</t>
        </is>
      </c>
      <c r="B44" s="41" t="n"/>
      <c r="C44" s="41" t="inlineStr">
        <is>
          <t>THE SOLUTIONAUTS</t>
        </is>
      </c>
      <c r="D44" s="41" t="n"/>
      <c r="E44" s="42" t="n">
        <v>46325</v>
      </c>
      <c r="F44" s="41" t="inlineStr">
        <is>
          <t>Baseline</t>
        </is>
      </c>
      <c r="G44" s="49" t="inlineStr">
        <is>
          <t>How was the 12-minute-per-syllabus figure measured? Could we time one or two evaluators on the same five courses, with and without the tool?</t>
        </is>
      </c>
      <c r="H44" s="43" t="n"/>
      <c r="I44" s="49" t="inlineStr">
        <is>
          <t>Gives a measured before-vs-after number for evaluator time instead of an estimate.</t>
        </is>
      </c>
      <c r="J44" s="41" t="inlineStr">
        <is>
          <t>High</t>
        </is>
      </c>
      <c r="K44" s="41" t="inlineStr">
        <is>
          <t>Business stakeholder (SPOC)</t>
        </is>
      </c>
      <c r="L44" s="44" t="n"/>
      <c r="M44" s="45" t="n"/>
      <c r="N44" s="43" t="n"/>
      <c r="O44" s="46" t="n"/>
    </row>
    <row r="45" ht="15.75" customHeight="1" s="25">
      <c r="A45" s="34" t="inlineStr">
        <is>
          <t>Q-041</t>
        </is>
      </c>
      <c r="B45" s="41" t="n"/>
      <c r="C45" s="41" t="inlineStr">
        <is>
          <t>THE SOLUTIONAUTS</t>
        </is>
      </c>
      <c r="D45" s="41" t="n"/>
      <c r="E45" s="42" t="n">
        <v>46325</v>
      </c>
      <c r="F45" s="41" t="inlineStr">
        <is>
          <t>Non-functional / accessibility</t>
        </is>
      </c>
      <c r="G45" s="49" t="inlineStr">
        <is>
          <t>Must the student pages meet an accessibility standard (for example WCAG 2.1 AA) and work on a phone?</t>
        </is>
      </c>
      <c r="H45" s="43" t="n"/>
      <c r="I45" s="49" t="inlineStr">
        <is>
          <t>Sets the UI acceptance bar. Team working assumption: WCAG 2.1 AA and phone-friendly student pages.</t>
        </is>
      </c>
      <c r="J45" s="41" t="inlineStr">
        <is>
          <t>Medium</t>
        </is>
      </c>
      <c r="K45" s="41" t="inlineStr">
        <is>
          <t>Business stakeholder (SPOC)</t>
        </is>
      </c>
      <c r="L45" s="44" t="n"/>
      <c r="M45" s="45" t="n"/>
      <c r="N45" s="43" t="n"/>
      <c r="O45" s="46" t="n"/>
    </row>
    <row r="46" ht="15.75" customHeight="1" s="25">
      <c r="A46" s="34" t="inlineStr">
        <is>
          <t>Q-042</t>
        </is>
      </c>
      <c r="B46" s="41" t="n"/>
      <c r="C46" s="41" t="inlineStr">
        <is>
          <t>THE SOLUTIONAUTS</t>
        </is>
      </c>
      <c r="D46" s="41" t="n"/>
      <c r="E46" s="42" t="n">
        <v>46325</v>
      </c>
      <c r="F46" s="41" t="inlineStr">
        <is>
          <t>Security and integration</t>
        </is>
      </c>
      <c r="G46" s="49" t="inlineStr">
        <is>
          <t>How long must transcripts, syllabi and the decision audit log be kept, and who may read the audit log?</t>
        </is>
      </c>
      <c r="H46" s="43" t="n"/>
      <c r="I46" s="49" t="inlineStr">
        <is>
          <t>Defines data retention and audit requirements under FERPA. Team working assumption: keep decisions and audit permanently, delete documents after the one-year appeal window.</t>
        </is>
      </c>
      <c r="J46" s="41" t="inlineStr">
        <is>
          <t>High</t>
        </is>
      </c>
      <c r="K46" s="41" t="inlineStr">
        <is>
          <t>Business stakeholder (SPOC)</t>
        </is>
      </c>
      <c r="L46" s="44" t="n"/>
      <c r="M46" s="45" t="n"/>
      <c r="N46" s="43" t="n"/>
      <c r="O46" s="46" t="n"/>
    </row>
    <row r="47" ht="15.75" customHeight="1" s="25">
      <c r="A47" s="34" t="inlineStr">
        <is>
          <t>Q-043</t>
        </is>
      </c>
      <c r="B47" s="41" t="n"/>
      <c r="C47" s="41" t="inlineStr">
        <is>
          <t>THE SOLUTIONAUTS</t>
        </is>
      </c>
      <c r="D47" s="41" t="n"/>
      <c r="E47" s="42" t="n">
        <v>46325</v>
      </c>
      <c r="F47" s="41" t="inlineStr">
        <is>
          <t>Security and integration</t>
        </is>
      </c>
      <c r="G47" s="49" t="inlineStr">
        <is>
          <t>In production, should users sign in with BU single sign-on, and who approves a new department-reviewer account?</t>
        </is>
      </c>
      <c r="H47" s="43" t="n"/>
      <c r="I47" s="49" t="inlineStr">
        <is>
          <t>Defines the authentication and access model. Team working assumption: BU SSO with roles; Credit Evaluation approves reviewer accounts.</t>
        </is>
      </c>
      <c r="J47" s="41" t="inlineStr">
        <is>
          <t>High</t>
        </is>
      </c>
      <c r="K47" s="41" t="inlineStr">
        <is>
          <t>Business stakeholder (SPOC)</t>
        </is>
      </c>
      <c r="L47" s="44" t="n"/>
      <c r="M47" s="45" t="n"/>
      <c r="N47" s="43" t="n"/>
      <c r="O47" s="46" t="n"/>
    </row>
    <row r="48" ht="15.75" customHeight="1" s="25">
      <c r="A48" s="34" t="inlineStr">
        <is>
          <t>Q-044</t>
        </is>
      </c>
      <c r="B48" s="41" t="n"/>
      <c r="C48" s="41" t="inlineStr">
        <is>
          <t>THE SOLUTIONAUTS</t>
        </is>
      </c>
      <c r="D48" s="41" t="n"/>
      <c r="E48" s="42" t="n">
        <v>46325</v>
      </c>
      <c r="F48" s="41" t="inlineStr">
        <is>
          <t>Scope</t>
        </is>
      </c>
      <c r="G48" s="49" t="inlineStr">
        <is>
          <t>Please confirm these are out of scope for the prototype: AP/IB/CLEP test credit, non-English or international transcripts, the appeals workflow, Hub/degree-audit mapping, and live posting to MyBU.</t>
        </is>
      </c>
      <c r="H48" s="43" t="n"/>
      <c r="I48" s="49" t="inlineStr">
        <is>
          <t>Agrees an explicit out-of-scope list so the demo is judged on the agreed scope.</t>
        </is>
      </c>
      <c r="J48" s="41" t="inlineStr">
        <is>
          <t>High</t>
        </is>
      </c>
      <c r="K48" s="41" t="inlineStr">
        <is>
          <t>Business stakeholder (SPOC)</t>
        </is>
      </c>
      <c r="L48" s="44" t="n"/>
      <c r="M48" s="45" t="n"/>
      <c r="N48" s="43" t="n"/>
      <c r="O48" s="46" t="n"/>
    </row>
    <row r="49" ht="15.75" customHeight="1" s="25">
      <c r="A49" s="34" t="inlineStr">
        <is>
          <t>Q-045</t>
        </is>
      </c>
      <c r="B49" s="41" t="n"/>
      <c r="C49" s="41" t="inlineStr">
        <is>
          <t>THE SOLUTIONAUTS</t>
        </is>
      </c>
      <c r="D49" s="41" t="n"/>
      <c r="E49" s="42" t="n">
        <v>46325</v>
      </c>
      <c r="F49" s="41" t="inlineStr">
        <is>
          <t>Rules</t>
        </is>
      </c>
      <c r="G49" s="49" t="inlineStr">
        <is>
          <t>When a student has transcripts from several schools, or took a course under an older catalog year, which equivalency applies and how far back is a past decision reusable?</t>
        </is>
      </c>
      <c r="H49" s="43" t="n"/>
      <c r="I49" s="49" t="inlineStr">
        <is>
          <t>Edge cases for decision reuse and conflict handling.</t>
        </is>
      </c>
      <c r="J49" s="41" t="inlineStr">
        <is>
          <t>Medium</t>
        </is>
      </c>
      <c r="K49" s="41" t="inlineStr">
        <is>
          <t>Business stakeholder (SPOC)</t>
        </is>
      </c>
      <c r="L49" s="44" t="n"/>
      <c r="M49" s="45" t="n"/>
      <c r="N49" s="43" t="n"/>
      <c r="O49" s="46" t="n"/>
    </row>
    <row r="50" ht="15.75" customHeight="1" s="25">
      <c r="A50" s="34" t="inlineStr">
        <is>
          <t>Q-046</t>
        </is>
      </c>
      <c r="B50" s="41" t="n"/>
      <c r="C50" s="41" t="inlineStr">
        <is>
          <t>THE SOLUTIONAUTS</t>
        </is>
      </c>
      <c r="D50" s="41" t="n"/>
      <c r="E50" s="42" t="n">
        <v>46325</v>
      </c>
      <c r="F50" s="41" t="inlineStr">
        <is>
          <t>Process</t>
        </is>
      </c>
      <c r="G50" s="49" t="inlineStr">
        <is>
          <t>How does a student appeal a decision within the first year, and should the tool track appeals or only link to the existing process?</t>
        </is>
      </c>
      <c r="H50" s="43" t="n"/>
      <c r="I50" s="49" t="inlineStr">
        <is>
          <t>Decides whether appeals belong in the prototype or the roadmap.</t>
        </is>
      </c>
      <c r="J50" s="41" t="inlineStr">
        <is>
          <t>Low</t>
        </is>
      </c>
      <c r="K50" s="41" t="inlineStr">
        <is>
          <t>Business stakeholder (SPOC)</t>
        </is>
      </c>
      <c r="L50" s="44" t="n"/>
      <c r="M50" s="45" t="n"/>
      <c r="N50" s="43" t="n"/>
      <c r="O50" s="46" t="n"/>
    </row>
    <row r="51" ht="15.75" customHeight="1" s="25">
      <c r="A51" s="34" t="inlineStr">
        <is>
          <t>Q-047</t>
        </is>
      </c>
      <c r="B51" s="41" t="n"/>
      <c r="C51" s="41" t="inlineStr">
        <is>
          <t>THE SOLUTIONAUTS</t>
        </is>
      </c>
      <c r="D51" s="41" t="n"/>
      <c r="E51" s="42" t="n">
        <v>46325</v>
      </c>
      <c r="F51" s="41" t="inlineStr">
        <is>
          <t>Existing systems</t>
        </is>
      </c>
      <c r="G51" s="49" t="inlineStr">
        <is>
          <t>Re-asking Q-032 (its response repeats the residency answer): today, once an evaluator approves a match, is the next student with the same course matched without review?</t>
        </is>
      </c>
      <c r="H51" s="43" t="n"/>
      <c r="I51" s="49" t="inlineStr">
        <is>
          <t>Confirms the reuse-of-decisions behaviour we built (reusable flag in our own equivalency table).</t>
        </is>
      </c>
      <c r="J51" s="41" t="inlineStr">
        <is>
          <t>High</t>
        </is>
      </c>
      <c r="K51" s="41" t="inlineStr">
        <is>
          <t>Business stakeholder (SPOC)</t>
        </is>
      </c>
      <c r="L51" s="44" t="n"/>
      <c r="M51" s="45" t="n"/>
      <c r="N51" s="43" t="n"/>
      <c r="O51" s="46" t="n"/>
    </row>
    <row r="52" ht="15.75" customHeight="1" s="25">
      <c r="A52" s="34" t="inlineStr">
        <is>
          <t>Q-048</t>
        </is>
      </c>
      <c r="B52" s="41" t="n"/>
      <c r="C52" s="41" t="inlineStr">
        <is>
          <t>THE SOLUTIONAUTS</t>
        </is>
      </c>
      <c r="D52" s="41" t="n"/>
      <c r="E52" s="42" t="n">
        <v>46325</v>
      </c>
      <c r="F52" s="41" t="inlineStr">
        <is>
          <t>Process</t>
        </is>
      </c>
      <c r="G52" s="49" t="inlineStr">
        <is>
          <t>Please confirm our reading of the log: the answers to Q-018 to Q-025 sit two rows above their questions, rows 28-30 answer Q-027 to Q-029, and row 31 repeats the answer to Q-030. Were Q-016, Q-017 and Q-026 withdrawn?</t>
        </is>
      </c>
      <c r="H52" s="43" t="n"/>
      <c r="I52" s="49" t="inlineStr">
        <is>
          <t>Makes sure every rule we built traces to the answer it came from.</t>
        </is>
      </c>
      <c r="J52" s="41" t="inlineStr">
        <is>
          <t>High</t>
        </is>
      </c>
      <c r="K52" s="41" t="inlineStr">
        <is>
          <t>Business stakeholder (SPOC)</t>
        </is>
      </c>
      <c r="L52" s="44" t="n"/>
      <c r="M52" s="45" t="n"/>
      <c r="N52" s="43" t="n"/>
      <c r="O52" s="46" t="n"/>
    </row>
    <row r="53" ht="15.75" customHeight="1" s="25">
      <c r="A53" s="34" t="inlineStr">
        <is>
          <t>Q-049</t>
        </is>
      </c>
      <c r="B53" s="41" t="n"/>
      <c r="C53" s="41" t="inlineStr">
        <is>
          <t>THE SOLUTIONAUTS</t>
        </is>
      </c>
      <c r="D53" s="41" t="n"/>
      <c r="E53" s="42" t="n">
        <v>46325</v>
      </c>
      <c r="F53" s="41" t="inlineStr">
        <is>
          <t>Existing systems</t>
        </is>
      </c>
      <c r="G53" s="49" t="inlineStr">
        <is>
          <t>Which fields and format does MyBU need to import transfer credit (for example a CSV column list)?</t>
        </is>
      </c>
      <c r="H53" s="43" t="n"/>
      <c r="I53" s="49" t="inlineStr">
        <is>
          <t>Lets the registrar export load into MyBU without re-keying.</t>
        </is>
      </c>
      <c r="J53" s="41" t="inlineStr">
        <is>
          <t>Medium</t>
        </is>
      </c>
      <c r="K53" s="41" t="inlineStr">
        <is>
          <t>Business stakeholder (SPOC)</t>
        </is>
      </c>
      <c r="L53" s="44" t="n"/>
      <c r="M53" s="45" t="n"/>
      <c r="N53" s="43" t="n"/>
      <c r="O53" s="46" t="n"/>
    </row>
    <row r="54" ht="15.75" customHeight="1" s="25">
      <c r="A54" s="34" t="inlineStr">
        <is>
          <t>Q-050</t>
        </is>
      </c>
      <c r="B54" s="41" t="n"/>
      <c r="C54" s="41" t="inlineStr">
        <is>
          <t>THE SOLUTIONAUTS</t>
        </is>
      </c>
      <c r="D54" s="41" t="n"/>
      <c r="E54" s="42" t="n">
        <v>46325</v>
      </c>
      <c r="F54" s="41" t="inlineStr">
        <is>
          <t>Success criteria</t>
        </is>
      </c>
      <c r="G54" s="49" t="inlineStr">
        <is>
          <t>Before evaluators rely on AI recommendations, what sign-off or training do they need, and who owns the equivalency table once it grows?</t>
        </is>
      </c>
      <c r="H54" s="43" t="n"/>
      <c r="I54" s="49" t="inlineStr">
        <is>
          <t>Adoption and ownership plan after go-live.</t>
        </is>
      </c>
      <c r="J54" s="41" t="inlineStr">
        <is>
          <t>Medium</t>
        </is>
      </c>
      <c r="K54" s="41" t="inlineStr">
        <is>
          <t>Business stakeholder (SPOC)</t>
        </is>
      </c>
      <c r="L54" s="44" t="n"/>
      <c r="M54" s="45" t="n"/>
      <c r="N54" s="43" t="n"/>
      <c r="O54" s="46" t="n"/>
    </row>
    <row r="55" ht="15.75" customHeight="1" s="25">
      <c r="A55" s="34">
        <f>IF(G55="","","Q-"&amp;TEXT(ROW()-4,"000"))</f>
        <v/>
      </c>
      <c r="B55" s="41" t="n"/>
      <c r="C55" s="41" t="n"/>
      <c r="D55" s="41" t="n"/>
      <c r="E55" s="42" t="n"/>
      <c r="F55" s="41" t="n"/>
      <c r="G55" s="41" t="n"/>
      <c r="H55" s="43" t="n"/>
      <c r="I55" s="41" t="n"/>
      <c r="J55" s="41" t="n"/>
      <c r="K55" s="41" t="n"/>
      <c r="L55" s="44" t="n"/>
      <c r="M55" s="45" t="n"/>
      <c r="N55" s="43" t="n"/>
      <c r="O55" s="46" t="n"/>
    </row>
    <row r="56" ht="15.75" customHeight="1" s="25">
      <c r="A56" s="34">
        <f>IF(G56="","","Q-"&amp;TEXT(ROW()-4,"000"))</f>
        <v/>
      </c>
      <c r="B56" s="41" t="n"/>
      <c r="C56" s="41" t="n"/>
      <c r="D56" s="41" t="n"/>
      <c r="E56" s="42" t="n"/>
      <c r="F56" s="41" t="n"/>
      <c r="G56" s="41" t="n"/>
      <c r="H56" s="43" t="n"/>
      <c r="I56" s="41" t="n"/>
      <c r="J56" s="41" t="n"/>
      <c r="K56" s="41" t="n"/>
      <c r="L56" s="44" t="n"/>
      <c r="M56" s="45" t="n"/>
      <c r="N56" s="43" t="n"/>
      <c r="O56" s="46" t="n"/>
    </row>
    <row r="57" ht="15.75" customHeight="1" s="25">
      <c r="A57" s="34">
        <f>IF(G57="","","Q-"&amp;TEXT(ROW()-4,"000"))</f>
        <v/>
      </c>
      <c r="B57" s="41" t="n"/>
      <c r="C57" s="41" t="n"/>
      <c r="D57" s="41" t="n"/>
      <c r="E57" s="42" t="n"/>
      <c r="F57" s="41" t="n"/>
      <c r="G57" s="41" t="n"/>
      <c r="H57" s="43" t="n"/>
      <c r="I57" s="41" t="n"/>
      <c r="J57" s="41" t="n"/>
      <c r="K57" s="41" t="n"/>
      <c r="L57" s="44" t="n"/>
      <c r="M57" s="45" t="n"/>
      <c r="N57" s="43" t="n"/>
      <c r="O57" s="46" t="n"/>
    </row>
    <row r="58" ht="15.75" customHeight="1" s="25">
      <c r="A58" s="34">
        <f>IF(G58="","","Q-"&amp;TEXT(ROW()-4,"000"))</f>
        <v/>
      </c>
      <c r="B58" s="41" t="n"/>
      <c r="C58" s="41" t="n"/>
      <c r="D58" s="41" t="n"/>
      <c r="E58" s="42" t="n"/>
      <c r="F58" s="41" t="n"/>
      <c r="G58" s="41" t="n"/>
      <c r="H58" s="43" t="n"/>
      <c r="I58" s="41" t="n"/>
      <c r="J58" s="41" t="n"/>
      <c r="K58" s="41" t="n"/>
      <c r="L58" s="44" t="n"/>
      <c r="M58" s="45" t="n"/>
      <c r="N58" s="43" t="n"/>
      <c r="O58" s="46" t="n"/>
    </row>
    <row r="59" ht="15.75" customHeight="1" s="25">
      <c r="A59" s="34">
        <f>IF(G59="","","Q-"&amp;TEXT(ROW()-4,"000"))</f>
        <v/>
      </c>
      <c r="B59" s="41" t="n"/>
      <c r="C59" s="41" t="n"/>
      <c r="D59" s="41" t="n"/>
      <c r="E59" s="42" t="n"/>
      <c r="F59" s="41" t="n"/>
      <c r="G59" s="41" t="n"/>
      <c r="H59" s="43" t="n"/>
      <c r="I59" s="41" t="n"/>
      <c r="J59" s="41" t="n"/>
      <c r="K59" s="41" t="n"/>
      <c r="L59" s="44" t="n"/>
      <c r="M59" s="45" t="n"/>
      <c r="N59" s="43" t="n"/>
      <c r="O59" s="46" t="n"/>
    </row>
    <row r="60" ht="15.75" customHeight="1" s="25">
      <c r="A60" s="34">
        <f>IF(G60="","","Q-"&amp;TEXT(ROW()-4,"000"))</f>
        <v/>
      </c>
      <c r="B60" s="41" t="n"/>
      <c r="C60" s="41" t="n"/>
      <c r="D60" s="41" t="n"/>
      <c r="E60" s="42" t="n"/>
      <c r="F60" s="41" t="n"/>
      <c r="G60" s="41" t="n"/>
      <c r="H60" s="43" t="n"/>
      <c r="I60" s="41" t="n"/>
      <c r="J60" s="41" t="n"/>
      <c r="K60" s="41" t="n"/>
      <c r="L60" s="44" t="n"/>
      <c r="M60" s="45" t="n"/>
      <c r="N60" s="43" t="n"/>
      <c r="O60" s="46" t="n"/>
    </row>
    <row r="61" ht="15.75" customHeight="1" s="25">
      <c r="A61" s="34">
        <f>IF(G61="","","Q-"&amp;TEXT(ROW()-4,"000"))</f>
        <v/>
      </c>
      <c r="B61" s="41" t="n"/>
      <c r="C61" s="41" t="n"/>
      <c r="D61" s="41" t="n"/>
      <c r="E61" s="42" t="n"/>
      <c r="F61" s="41" t="n"/>
      <c r="G61" s="41" t="n"/>
      <c r="H61" s="43" t="n"/>
      <c r="I61" s="41" t="n"/>
      <c r="J61" s="41" t="n"/>
      <c r="K61" s="41" t="n"/>
      <c r="L61" s="44" t="n"/>
      <c r="M61" s="45" t="n"/>
      <c r="N61" s="43" t="n"/>
      <c r="O61" s="46" t="n"/>
    </row>
    <row r="62" ht="15.75" customHeight="1" s="25">
      <c r="A62" s="34">
        <f>IF(G62="","","Q-"&amp;TEXT(ROW()-4,"000"))</f>
        <v/>
      </c>
      <c r="B62" s="41" t="n"/>
      <c r="C62" s="41" t="n"/>
      <c r="D62" s="41" t="n"/>
      <c r="E62" s="42" t="n"/>
      <c r="F62" s="41" t="n"/>
      <c r="G62" s="41" t="n"/>
      <c r="H62" s="43" t="n"/>
      <c r="I62" s="41" t="n"/>
      <c r="J62" s="41" t="n"/>
      <c r="K62" s="41" t="n"/>
      <c r="L62" s="44" t="n"/>
      <c r="M62" s="45" t="n"/>
      <c r="N62" s="43" t="n"/>
      <c r="O62" s="46" t="n"/>
    </row>
    <row r="63" ht="15.75" customHeight="1" s="25">
      <c r="A63" s="34">
        <f>IF(G63="","","Q-"&amp;TEXT(ROW()-4,"000"))</f>
        <v/>
      </c>
      <c r="B63" s="41" t="n"/>
      <c r="C63" s="41" t="n"/>
      <c r="D63" s="41" t="n"/>
      <c r="E63" s="42" t="n"/>
      <c r="F63" s="41" t="n"/>
      <c r="G63" s="41" t="n"/>
      <c r="H63" s="43" t="n"/>
      <c r="I63" s="41" t="n"/>
      <c r="J63" s="41" t="n"/>
      <c r="K63" s="41" t="n"/>
      <c r="L63" s="44" t="n"/>
      <c r="M63" s="45" t="n"/>
      <c r="N63" s="43" t="n"/>
      <c r="O63" s="46" t="n"/>
    </row>
    <row r="64" ht="15.75" customHeight="1" s="25">
      <c r="A64" s="34">
        <f>IF(G64="","","Q-"&amp;TEXT(ROW()-4,"000"))</f>
        <v/>
      </c>
      <c r="B64" s="41" t="n"/>
      <c r="C64" s="41" t="n"/>
      <c r="D64" s="41" t="n"/>
      <c r="E64" s="42" t="n"/>
      <c r="F64" s="41" t="n"/>
      <c r="G64" s="41" t="n"/>
      <c r="H64" s="43" t="n"/>
      <c r="I64" s="41" t="n"/>
      <c r="J64" s="41" t="n"/>
      <c r="K64" s="41" t="n"/>
      <c r="L64" s="44" t="n"/>
      <c r="M64" s="45" t="n"/>
      <c r="N64" s="43" t="n"/>
      <c r="O64" s="46" t="n"/>
    </row>
    <row r="65" ht="15.75" customHeight="1" s="25">
      <c r="A65" s="34">
        <f>IF(G65="","","Q-"&amp;TEXT(ROW()-4,"000"))</f>
        <v/>
      </c>
      <c r="B65" s="41" t="n"/>
      <c r="C65" s="41" t="n"/>
      <c r="D65" s="41" t="n"/>
      <c r="E65" s="42" t="n"/>
      <c r="F65" s="41" t="n"/>
      <c r="G65" s="41" t="n"/>
      <c r="H65" s="43" t="n"/>
      <c r="I65" s="41" t="n"/>
      <c r="J65" s="41" t="n"/>
      <c r="K65" s="41" t="n"/>
      <c r="L65" s="44" t="n"/>
      <c r="M65" s="45" t="n"/>
      <c r="N65" s="43" t="n"/>
      <c r="O65" s="46" t="n"/>
    </row>
    <row r="66" ht="15.75" customHeight="1" s="25">
      <c r="A66" s="34">
        <f>IF(G66="","","Q-"&amp;TEXT(ROW()-4,"000"))</f>
        <v/>
      </c>
      <c r="B66" s="41" t="n"/>
      <c r="C66" s="41" t="n"/>
      <c r="D66" s="41" t="n"/>
      <c r="E66" s="42" t="n"/>
      <c r="F66" s="41" t="n"/>
      <c r="G66" s="41" t="n"/>
      <c r="H66" s="43" t="n"/>
      <c r="I66" s="41" t="n"/>
      <c r="J66" s="41" t="n"/>
      <c r="K66" s="41" t="n"/>
      <c r="L66" s="44" t="n"/>
      <c r="M66" s="45" t="n"/>
      <c r="N66" s="43" t="n"/>
      <c r="O66" s="46" t="n"/>
    </row>
    <row r="67" ht="15.75" customHeight="1" s="25">
      <c r="A67" s="34">
        <f>IF(G67="","","Q-"&amp;TEXT(ROW()-4,"000"))</f>
        <v/>
      </c>
      <c r="B67" s="41" t="n"/>
      <c r="C67" s="41" t="n"/>
      <c r="D67" s="41" t="n"/>
      <c r="E67" s="42" t="n"/>
      <c r="F67" s="41" t="n"/>
      <c r="G67" s="41" t="n"/>
      <c r="H67" s="43" t="n"/>
      <c r="I67" s="41" t="n"/>
      <c r="J67" s="41" t="n"/>
      <c r="K67" s="41" t="n"/>
      <c r="L67" s="44" t="n"/>
      <c r="M67" s="45" t="n"/>
      <c r="N67" s="43" t="n"/>
      <c r="O67" s="46" t="n"/>
    </row>
    <row r="68" ht="15.75" customHeight="1" s="25">
      <c r="A68" s="34">
        <f>IF(G68="","","Q-"&amp;TEXT(ROW()-4,"000"))</f>
        <v/>
      </c>
      <c r="B68" s="41" t="n"/>
      <c r="C68" s="41" t="n"/>
      <c r="D68" s="41" t="n"/>
      <c r="E68" s="42" t="n"/>
      <c r="F68" s="41" t="n"/>
      <c r="G68" s="41" t="n"/>
      <c r="H68" s="43" t="n"/>
      <c r="I68" s="41" t="n"/>
      <c r="J68" s="41" t="n"/>
      <c r="K68" s="41" t="n"/>
      <c r="L68" s="44" t="n"/>
      <c r="M68" s="45" t="n"/>
      <c r="N68" s="43" t="n"/>
      <c r="O68" s="46" t="n"/>
    </row>
    <row r="69" ht="15.75" customHeight="1" s="25">
      <c r="A69" s="34">
        <f>IF(G69="","","Q-"&amp;TEXT(ROW()-4,"000"))</f>
        <v/>
      </c>
      <c r="B69" s="41" t="n"/>
      <c r="C69" s="41" t="n"/>
      <c r="D69" s="41" t="n"/>
      <c r="E69" s="42" t="n"/>
      <c r="F69" s="41" t="n"/>
      <c r="G69" s="41" t="n"/>
      <c r="H69" s="43" t="n"/>
      <c r="I69" s="41" t="n"/>
      <c r="J69" s="41" t="n"/>
      <c r="K69" s="41" t="n"/>
      <c r="L69" s="44" t="n"/>
      <c r="M69" s="45" t="n"/>
      <c r="N69" s="43" t="n"/>
      <c r="O69" s="46" t="n"/>
    </row>
    <row r="70" ht="15.75" customHeight="1" s="25">
      <c r="A70" s="34">
        <f>IF(G70="","","Q-"&amp;TEXT(ROW()-4,"000"))</f>
        <v/>
      </c>
      <c r="B70" s="41" t="n"/>
      <c r="C70" s="41" t="n"/>
      <c r="D70" s="41" t="n"/>
      <c r="E70" s="42" t="n"/>
      <c r="F70" s="41" t="n"/>
      <c r="G70" s="41" t="n"/>
      <c r="H70" s="43" t="n"/>
      <c r="I70" s="41" t="n"/>
      <c r="J70" s="41" t="n"/>
      <c r="K70" s="41" t="n"/>
      <c r="L70" s="44" t="n"/>
      <c r="M70" s="45" t="n"/>
      <c r="N70" s="43" t="n"/>
      <c r="O70" s="46" t="n"/>
    </row>
    <row r="71" ht="15.75" customHeight="1" s="25">
      <c r="A71" s="34">
        <f>IF(G71="","","Q-"&amp;TEXT(ROW()-4,"000"))</f>
        <v/>
      </c>
      <c r="B71" s="41" t="n"/>
      <c r="C71" s="41" t="n"/>
      <c r="D71" s="41" t="n"/>
      <c r="E71" s="42" t="n"/>
      <c r="F71" s="41" t="n"/>
      <c r="G71" s="41" t="n"/>
      <c r="H71" s="43" t="n"/>
      <c r="I71" s="41" t="n"/>
      <c r="J71" s="41" t="n"/>
      <c r="K71" s="41" t="n"/>
      <c r="L71" s="44" t="n"/>
      <c r="M71" s="45" t="n"/>
      <c r="N71" s="43" t="n"/>
      <c r="O71" s="46" t="n"/>
    </row>
    <row r="72" ht="15.75" customHeight="1" s="25">
      <c r="A72" s="34">
        <f>IF(G72="","","Q-"&amp;TEXT(ROW()-4,"000"))</f>
        <v/>
      </c>
      <c r="B72" s="41" t="n"/>
      <c r="C72" s="41" t="n"/>
      <c r="D72" s="41" t="n"/>
      <c r="E72" s="42" t="n"/>
      <c r="F72" s="41" t="n"/>
      <c r="G72" s="41" t="n"/>
      <c r="H72" s="43" t="n"/>
      <c r="I72" s="41" t="n"/>
      <c r="J72" s="41" t="n"/>
      <c r="K72" s="41" t="n"/>
      <c r="L72" s="44" t="n"/>
      <c r="M72" s="45" t="n"/>
      <c r="N72" s="43" t="n"/>
      <c r="O72" s="46" t="n"/>
    </row>
    <row r="73" ht="15.75" customHeight="1" s="25">
      <c r="A73" s="34">
        <f>IF(G73="","","Q-"&amp;TEXT(ROW()-4,"000"))</f>
        <v/>
      </c>
      <c r="B73" s="41" t="n"/>
      <c r="C73" s="41" t="n"/>
      <c r="D73" s="41" t="n"/>
      <c r="E73" s="42" t="n"/>
      <c r="F73" s="41" t="n"/>
      <c r="G73" s="41" t="n"/>
      <c r="H73" s="43" t="n"/>
      <c r="I73" s="41" t="n"/>
      <c r="J73" s="41" t="n"/>
      <c r="K73" s="41" t="n"/>
      <c r="L73" s="44" t="n"/>
      <c r="M73" s="45" t="n"/>
      <c r="N73" s="43" t="n"/>
      <c r="O73" s="46" t="n"/>
    </row>
    <row r="74" ht="15.75" customHeight="1" s="25">
      <c r="A74" s="34">
        <f>IF(G74="","","Q-"&amp;TEXT(ROW()-4,"000"))</f>
        <v/>
      </c>
      <c r="B74" s="41" t="n"/>
      <c r="C74" s="41" t="n"/>
      <c r="D74" s="41" t="n"/>
      <c r="E74" s="42" t="n"/>
      <c r="F74" s="41" t="n"/>
      <c r="G74" s="41" t="n"/>
      <c r="H74" s="43" t="n"/>
      <c r="I74" s="41" t="n"/>
      <c r="J74" s="41" t="n"/>
      <c r="K74" s="41" t="n"/>
      <c r="L74" s="44" t="n"/>
      <c r="M74" s="45" t="n"/>
      <c r="N74" s="43" t="n"/>
      <c r="O74" s="46" t="n"/>
    </row>
    <row r="75" ht="15.75" customHeight="1" s="25">
      <c r="A75" s="34">
        <f>IF(G75="","","Q-"&amp;TEXT(ROW()-4,"000"))</f>
        <v/>
      </c>
      <c r="B75" s="41" t="n"/>
      <c r="C75" s="41" t="n"/>
      <c r="D75" s="41" t="n"/>
      <c r="E75" s="42" t="n"/>
      <c r="F75" s="41" t="n"/>
      <c r="G75" s="41" t="n"/>
      <c r="H75" s="43" t="n"/>
      <c r="I75" s="41" t="n"/>
      <c r="J75" s="41" t="n"/>
      <c r="K75" s="41" t="n"/>
      <c r="L75" s="44" t="n"/>
      <c r="M75" s="45" t="n"/>
      <c r="N75" s="43" t="n"/>
      <c r="O75" s="46" t="n"/>
    </row>
    <row r="76" ht="15.75" customHeight="1" s="25">
      <c r="A76" s="34">
        <f>IF(G76="","","Q-"&amp;TEXT(ROW()-4,"000"))</f>
        <v/>
      </c>
      <c r="B76" s="41" t="n"/>
      <c r="C76" s="41" t="n"/>
      <c r="D76" s="41" t="n"/>
      <c r="E76" s="42" t="n"/>
      <c r="F76" s="41" t="n"/>
      <c r="G76" s="41" t="n"/>
      <c r="H76" s="43" t="n"/>
      <c r="I76" s="41" t="n"/>
      <c r="J76" s="41" t="n"/>
      <c r="K76" s="41" t="n"/>
      <c r="L76" s="44" t="n"/>
      <c r="M76" s="45" t="n"/>
      <c r="N76" s="43" t="n"/>
      <c r="O76" s="46" t="n"/>
    </row>
    <row r="77" ht="15.75" customHeight="1" s="25">
      <c r="A77" s="34">
        <f>IF(G77="","","Q-"&amp;TEXT(ROW()-4,"000"))</f>
        <v/>
      </c>
      <c r="B77" s="41" t="n"/>
      <c r="C77" s="41" t="n"/>
      <c r="D77" s="41" t="n"/>
      <c r="E77" s="42" t="n"/>
      <c r="F77" s="41" t="n"/>
      <c r="G77" s="41" t="n"/>
      <c r="H77" s="43" t="n"/>
      <c r="I77" s="41" t="n"/>
      <c r="J77" s="41" t="n"/>
      <c r="K77" s="41" t="n"/>
      <c r="L77" s="44" t="n"/>
      <c r="M77" s="45" t="n"/>
      <c r="N77" s="43" t="n"/>
      <c r="O77" s="46" t="n"/>
    </row>
    <row r="78" ht="15.75" customHeight="1" s="25">
      <c r="A78" s="34">
        <f>IF(G78="","","Q-"&amp;TEXT(ROW()-4,"000"))</f>
        <v/>
      </c>
      <c r="B78" s="41" t="n"/>
      <c r="C78" s="41" t="n"/>
      <c r="D78" s="41" t="n"/>
      <c r="E78" s="42" t="n"/>
      <c r="F78" s="41" t="n"/>
      <c r="G78" s="41" t="n"/>
      <c r="H78" s="43" t="n"/>
      <c r="I78" s="41" t="n"/>
      <c r="J78" s="41" t="n"/>
      <c r="K78" s="41" t="n"/>
      <c r="L78" s="44" t="n"/>
      <c r="M78" s="45" t="n"/>
      <c r="N78" s="43" t="n"/>
      <c r="O78" s="46" t="n"/>
    </row>
    <row r="79" ht="15.75" customHeight="1" s="25">
      <c r="A79" s="34">
        <f>IF(G79="","","Q-"&amp;TEXT(ROW()-4,"000"))</f>
        <v/>
      </c>
      <c r="B79" s="41" t="n"/>
      <c r="C79" s="41" t="n"/>
      <c r="D79" s="41" t="n"/>
      <c r="E79" s="42" t="n"/>
      <c r="F79" s="41" t="n"/>
      <c r="G79" s="41" t="n"/>
      <c r="H79" s="43" t="n"/>
      <c r="I79" s="41" t="n"/>
      <c r="J79" s="41" t="n"/>
      <c r="K79" s="41" t="n"/>
      <c r="L79" s="44" t="n"/>
      <c r="M79" s="45" t="n"/>
      <c r="N79" s="43" t="n"/>
      <c r="O79" s="46" t="n"/>
    </row>
    <row r="80" ht="15.75" customHeight="1" s="25">
      <c r="A80" s="34">
        <f>IF(G80="","","Q-"&amp;TEXT(ROW()-4,"000"))</f>
        <v/>
      </c>
      <c r="B80" s="41" t="n"/>
      <c r="C80" s="41" t="n"/>
      <c r="D80" s="41" t="n"/>
      <c r="E80" s="42" t="n"/>
      <c r="F80" s="41" t="n"/>
      <c r="G80" s="41" t="n"/>
      <c r="H80" s="43" t="n"/>
      <c r="I80" s="41" t="n"/>
      <c r="J80" s="41" t="n"/>
      <c r="K80" s="41" t="n"/>
      <c r="L80" s="44" t="n"/>
      <c r="M80" s="45" t="n"/>
      <c r="N80" s="43" t="n"/>
      <c r="O80" s="46" t="n"/>
    </row>
    <row r="81" ht="15.75" customHeight="1" s="25">
      <c r="A81" s="34">
        <f>IF(G81="","","Q-"&amp;TEXT(ROW()-4,"000"))</f>
        <v/>
      </c>
      <c r="B81" s="41" t="n"/>
      <c r="C81" s="41" t="n"/>
      <c r="D81" s="41" t="n"/>
      <c r="E81" s="42" t="n"/>
      <c r="F81" s="41" t="n"/>
      <c r="G81" s="41" t="n"/>
      <c r="H81" s="43" t="n"/>
      <c r="I81" s="41" t="n"/>
      <c r="J81" s="41" t="n"/>
      <c r="K81" s="41" t="n"/>
      <c r="L81" s="44" t="n"/>
      <c r="M81" s="45" t="n"/>
      <c r="N81" s="43" t="n"/>
      <c r="O81" s="46" t="n"/>
    </row>
    <row r="82" ht="15.75" customHeight="1" s="25">
      <c r="A82" s="34">
        <f>IF(G82="","","Q-"&amp;TEXT(ROW()-4,"000"))</f>
        <v/>
      </c>
      <c r="B82" s="41" t="n"/>
      <c r="C82" s="41" t="n"/>
      <c r="D82" s="41" t="n"/>
      <c r="E82" s="42" t="n"/>
      <c r="F82" s="41" t="n"/>
      <c r="G82" s="41" t="n"/>
      <c r="H82" s="43" t="n"/>
      <c r="I82" s="41" t="n"/>
      <c r="J82" s="41" t="n"/>
      <c r="K82" s="41" t="n"/>
      <c r="L82" s="44" t="n"/>
      <c r="M82" s="45" t="n"/>
      <c r="N82" s="43" t="n"/>
      <c r="O82" s="46" t="n"/>
    </row>
    <row r="83" ht="15.75" customHeight="1" s="25">
      <c r="A83" s="34">
        <f>IF(G83="","","Q-"&amp;TEXT(ROW()-4,"000"))</f>
        <v/>
      </c>
      <c r="B83" s="41" t="n"/>
      <c r="C83" s="41" t="n"/>
      <c r="D83" s="41" t="n"/>
      <c r="E83" s="42" t="n"/>
      <c r="F83" s="41" t="n"/>
      <c r="G83" s="41" t="n"/>
      <c r="H83" s="43" t="n"/>
      <c r="I83" s="41" t="n"/>
      <c r="J83" s="41" t="n"/>
      <c r="K83" s="41" t="n"/>
      <c r="L83" s="44" t="n"/>
      <c r="M83" s="45" t="n"/>
      <c r="N83" s="43" t="n"/>
      <c r="O83" s="46" t="n"/>
    </row>
    <row r="84" ht="15.75" customHeight="1" s="25">
      <c r="A84" s="34">
        <f>IF(G84="","","Q-"&amp;TEXT(ROW()-4,"000"))</f>
        <v/>
      </c>
      <c r="B84" s="41" t="n"/>
      <c r="C84" s="41" t="n"/>
      <c r="D84" s="41" t="n"/>
      <c r="E84" s="42" t="n"/>
      <c r="F84" s="41" t="n"/>
      <c r="G84" s="41" t="n"/>
      <c r="H84" s="43" t="n"/>
      <c r="I84" s="41" t="n"/>
      <c r="J84" s="41" t="n"/>
      <c r="K84" s="41" t="n"/>
      <c r="L84" s="44" t="n"/>
      <c r="M84" s="45" t="n"/>
      <c r="N84" s="43" t="n"/>
      <c r="O84" s="46" t="n"/>
    </row>
    <row r="85" ht="15.75" customHeight="1" s="25">
      <c r="A85" s="34">
        <f>IF(G85="","","Q-"&amp;TEXT(ROW()-4,"000"))</f>
        <v/>
      </c>
      <c r="B85" s="41" t="n"/>
      <c r="C85" s="41" t="n"/>
      <c r="D85" s="41" t="n"/>
      <c r="E85" s="42" t="n"/>
      <c r="F85" s="41" t="n"/>
      <c r="G85" s="41" t="n"/>
      <c r="H85" s="43" t="n"/>
      <c r="I85" s="41" t="n"/>
      <c r="J85" s="41" t="n"/>
      <c r="K85" s="41" t="n"/>
      <c r="L85" s="44" t="n"/>
      <c r="M85" s="45" t="n"/>
      <c r="N85" s="43" t="n"/>
      <c r="O85" s="46" t="n"/>
    </row>
    <row r="86" ht="15.75" customHeight="1" s="25">
      <c r="A86" s="34">
        <f>IF(G86="","","Q-"&amp;TEXT(ROW()-4,"000"))</f>
        <v/>
      </c>
      <c r="B86" s="41" t="n"/>
      <c r="C86" s="41" t="n"/>
      <c r="D86" s="41" t="n"/>
      <c r="E86" s="42" t="n"/>
      <c r="F86" s="41" t="n"/>
      <c r="G86" s="41" t="n"/>
      <c r="H86" s="43" t="n"/>
      <c r="I86" s="41" t="n"/>
      <c r="J86" s="41" t="n"/>
      <c r="K86" s="41" t="n"/>
      <c r="L86" s="44" t="n"/>
      <c r="M86" s="45" t="n"/>
      <c r="N86" s="43" t="n"/>
      <c r="O86" s="46" t="n"/>
    </row>
    <row r="87" ht="15.75" customHeight="1" s="25">
      <c r="A87" s="34">
        <f>IF(G87="","","Q-"&amp;TEXT(ROW()-4,"000"))</f>
        <v/>
      </c>
      <c r="B87" s="41" t="n"/>
      <c r="C87" s="41" t="n"/>
      <c r="D87" s="41" t="n"/>
      <c r="E87" s="42" t="n"/>
      <c r="F87" s="41" t="n"/>
      <c r="G87" s="41" t="n"/>
      <c r="H87" s="43" t="n"/>
      <c r="I87" s="41" t="n"/>
      <c r="J87" s="41" t="n"/>
      <c r="K87" s="41" t="n"/>
      <c r="L87" s="44" t="n"/>
      <c r="M87" s="45" t="n"/>
      <c r="N87" s="43" t="n"/>
      <c r="O87" s="46" t="n"/>
    </row>
    <row r="88" ht="15.75" customHeight="1" s="25">
      <c r="A88" s="34">
        <f>IF(G88="","","Q-"&amp;TEXT(ROW()-4,"000"))</f>
        <v/>
      </c>
      <c r="B88" s="41" t="n"/>
      <c r="C88" s="41" t="n"/>
      <c r="D88" s="41" t="n"/>
      <c r="E88" s="42" t="n"/>
      <c r="F88" s="41" t="n"/>
      <c r="G88" s="41" t="n"/>
      <c r="H88" s="43" t="n"/>
      <c r="I88" s="41" t="n"/>
      <c r="J88" s="41" t="n"/>
      <c r="K88" s="41" t="n"/>
      <c r="L88" s="44" t="n"/>
      <c r="M88" s="45" t="n"/>
      <c r="N88" s="43" t="n"/>
      <c r="O88" s="46" t="n"/>
    </row>
    <row r="89" ht="15.75" customHeight="1" s="25">
      <c r="A89" s="34">
        <f>IF(G89="","","Q-"&amp;TEXT(ROW()-4,"000"))</f>
        <v/>
      </c>
      <c r="B89" s="41" t="n"/>
      <c r="C89" s="41" t="n"/>
      <c r="D89" s="41" t="n"/>
      <c r="E89" s="42" t="n"/>
      <c r="F89" s="41" t="n"/>
      <c r="G89" s="41" t="n"/>
      <c r="H89" s="43" t="n"/>
      <c r="I89" s="41" t="n"/>
      <c r="J89" s="41" t="n"/>
      <c r="K89" s="41" t="n"/>
      <c r="L89" s="44" t="n"/>
      <c r="M89" s="45" t="n"/>
      <c r="N89" s="43" t="n"/>
      <c r="O89" s="46" t="n"/>
    </row>
    <row r="90" ht="15.75" customHeight="1" s="25">
      <c r="A90" s="34">
        <f>IF(G90="","","Q-"&amp;TEXT(ROW()-4,"000"))</f>
        <v/>
      </c>
      <c r="B90" s="41" t="n"/>
      <c r="C90" s="41" t="n"/>
      <c r="D90" s="41" t="n"/>
      <c r="E90" s="42" t="n"/>
      <c r="F90" s="41" t="n"/>
      <c r="G90" s="41" t="n"/>
      <c r="H90" s="43" t="n"/>
      <c r="I90" s="41" t="n"/>
      <c r="J90" s="41" t="n"/>
      <c r="K90" s="41" t="n"/>
      <c r="L90" s="44" t="n"/>
      <c r="M90" s="45" t="n"/>
      <c r="N90" s="43" t="n"/>
      <c r="O90" s="46" t="n"/>
    </row>
    <row r="91" ht="15.75" customHeight="1" s="25">
      <c r="A91" s="34">
        <f>IF(G91="","","Q-"&amp;TEXT(ROW()-4,"000"))</f>
        <v/>
      </c>
      <c r="B91" s="41" t="n"/>
      <c r="C91" s="41" t="n"/>
      <c r="D91" s="41" t="n"/>
      <c r="E91" s="42" t="n"/>
      <c r="F91" s="41" t="n"/>
      <c r="G91" s="41" t="n"/>
      <c r="H91" s="43" t="n"/>
      <c r="I91" s="41" t="n"/>
      <c r="J91" s="41" t="n"/>
      <c r="K91" s="41" t="n"/>
      <c r="L91" s="44" t="n"/>
      <c r="M91" s="45" t="n"/>
      <c r="N91" s="43" t="n"/>
      <c r="O91" s="46" t="n"/>
    </row>
    <row r="92" ht="15.75" customHeight="1" s="25">
      <c r="A92" s="34">
        <f>IF(G92="","","Q-"&amp;TEXT(ROW()-4,"000"))</f>
        <v/>
      </c>
      <c r="B92" s="41" t="n"/>
      <c r="C92" s="41" t="n"/>
      <c r="D92" s="41" t="n"/>
      <c r="E92" s="42" t="n"/>
      <c r="F92" s="41" t="n"/>
      <c r="G92" s="41" t="n"/>
      <c r="H92" s="43" t="n"/>
      <c r="I92" s="41" t="n"/>
      <c r="J92" s="41" t="n"/>
      <c r="K92" s="41" t="n"/>
      <c r="L92" s="44" t="n"/>
      <c r="M92" s="45" t="n"/>
      <c r="N92" s="43" t="n"/>
      <c r="O92" s="46" t="n"/>
    </row>
    <row r="93" ht="15.75" customHeight="1" s="25">
      <c r="A93" s="34">
        <f>IF(G93="","","Q-"&amp;TEXT(ROW()-4,"000"))</f>
        <v/>
      </c>
      <c r="B93" s="41" t="n"/>
      <c r="C93" s="41" t="n"/>
      <c r="D93" s="41" t="n"/>
      <c r="E93" s="42" t="n"/>
      <c r="F93" s="41" t="n"/>
      <c r="G93" s="41" t="n"/>
      <c r="H93" s="43" t="n"/>
      <c r="I93" s="41" t="n"/>
      <c r="J93" s="41" t="n"/>
      <c r="K93" s="41" t="n"/>
      <c r="L93" s="44" t="n"/>
      <c r="M93" s="45" t="n"/>
      <c r="N93" s="43" t="n"/>
      <c r="O93" s="46" t="n"/>
    </row>
    <row r="94" ht="15.75" customHeight="1" s="25">
      <c r="A94" s="34">
        <f>IF(G94="","","Q-"&amp;TEXT(ROW()-4,"000"))</f>
        <v/>
      </c>
      <c r="B94" s="41" t="n"/>
      <c r="C94" s="41" t="n"/>
      <c r="D94" s="41" t="n"/>
      <c r="E94" s="42" t="n"/>
      <c r="F94" s="41" t="n"/>
      <c r="G94" s="41" t="n"/>
      <c r="H94" s="43" t="n"/>
      <c r="I94" s="41" t="n"/>
      <c r="J94" s="41" t="n"/>
      <c r="K94" s="41" t="n"/>
      <c r="L94" s="44" t="n"/>
      <c r="M94" s="45" t="n"/>
      <c r="N94" s="43" t="n"/>
      <c r="O94" s="46" t="n"/>
    </row>
    <row r="95" ht="15.75" customHeight="1" s="25">
      <c r="A95" s="34">
        <f>IF(G95="","","Q-"&amp;TEXT(ROW()-4,"000"))</f>
        <v/>
      </c>
      <c r="B95" s="41" t="n"/>
      <c r="C95" s="41" t="n"/>
      <c r="D95" s="41" t="n"/>
      <c r="E95" s="42" t="n"/>
      <c r="F95" s="41" t="n"/>
      <c r="G95" s="41" t="n"/>
      <c r="H95" s="43" t="n"/>
      <c r="I95" s="41" t="n"/>
      <c r="J95" s="41" t="n"/>
      <c r="K95" s="41" t="n"/>
      <c r="L95" s="44" t="n"/>
      <c r="M95" s="45" t="n"/>
      <c r="N95" s="43" t="n"/>
      <c r="O95" s="46" t="n"/>
    </row>
    <row r="96" ht="15.75" customHeight="1" s="25">
      <c r="A96" s="34">
        <f>IF(G96="","","Q-"&amp;TEXT(ROW()-4,"000"))</f>
        <v/>
      </c>
      <c r="B96" s="41" t="n"/>
      <c r="C96" s="41" t="n"/>
      <c r="D96" s="41" t="n"/>
      <c r="E96" s="42" t="n"/>
      <c r="F96" s="41" t="n"/>
      <c r="G96" s="41" t="n"/>
      <c r="H96" s="43" t="n"/>
      <c r="I96" s="41" t="n"/>
      <c r="J96" s="41" t="n"/>
      <c r="K96" s="41" t="n"/>
      <c r="L96" s="44" t="n"/>
      <c r="M96" s="45" t="n"/>
      <c r="N96" s="43" t="n"/>
      <c r="O96" s="46" t="n"/>
    </row>
    <row r="97" ht="15.75" customHeight="1" s="25">
      <c r="A97" s="34">
        <f>IF(G97="","","Q-"&amp;TEXT(ROW()-4,"000"))</f>
        <v/>
      </c>
      <c r="B97" s="41" t="n"/>
      <c r="C97" s="41" t="n"/>
      <c r="D97" s="41" t="n"/>
      <c r="E97" s="42" t="n"/>
      <c r="F97" s="41" t="n"/>
      <c r="G97" s="41" t="n"/>
      <c r="H97" s="43" t="n"/>
      <c r="I97" s="41" t="n"/>
      <c r="J97" s="41" t="n"/>
      <c r="K97" s="41" t="n"/>
      <c r="L97" s="44" t="n"/>
      <c r="M97" s="45" t="n"/>
      <c r="N97" s="43" t="n"/>
      <c r="O97" s="46" t="n"/>
    </row>
    <row r="98" ht="15.75" customHeight="1" s="25">
      <c r="A98" s="34">
        <f>IF(G98="","","Q-"&amp;TEXT(ROW()-4,"000"))</f>
        <v/>
      </c>
      <c r="B98" s="41" t="n"/>
      <c r="C98" s="41" t="n"/>
      <c r="D98" s="41" t="n"/>
      <c r="E98" s="42" t="n"/>
      <c r="F98" s="41" t="n"/>
      <c r="G98" s="41" t="n"/>
      <c r="H98" s="43" t="n"/>
      <c r="I98" s="41" t="n"/>
      <c r="J98" s="41" t="n"/>
      <c r="K98" s="41" t="n"/>
      <c r="L98" s="44" t="n"/>
      <c r="M98" s="45" t="n"/>
      <c r="N98" s="43" t="n"/>
      <c r="O98" s="46" t="n"/>
    </row>
    <row r="99" ht="15.75" customHeight="1" s="25">
      <c r="A99" s="34">
        <f>IF(G99="","","Q-"&amp;TEXT(ROW()-4,"000"))</f>
        <v/>
      </c>
      <c r="B99" s="41" t="n"/>
      <c r="C99" s="41" t="n"/>
      <c r="D99" s="41" t="n"/>
      <c r="E99" s="42" t="n"/>
      <c r="F99" s="41" t="n"/>
      <c r="G99" s="41" t="n"/>
      <c r="H99" s="43" t="n"/>
      <c r="I99" s="41" t="n"/>
      <c r="J99" s="41" t="n"/>
      <c r="K99" s="41" t="n"/>
      <c r="L99" s="44" t="n"/>
      <c r="M99" s="45" t="n"/>
      <c r="N99" s="43" t="n"/>
      <c r="O99" s="46" t="n"/>
    </row>
    <row r="100" ht="15.75" customHeight="1" s="25">
      <c r="A100" s="34">
        <f>IF(G100="","","Q-"&amp;TEXT(ROW()-4,"000"))</f>
        <v/>
      </c>
      <c r="B100" s="41" t="n"/>
      <c r="C100" s="41" t="n"/>
      <c r="D100" s="41" t="n"/>
      <c r="E100" s="42" t="n"/>
      <c r="F100" s="41" t="n"/>
      <c r="G100" s="41" t="n"/>
      <c r="H100" s="43" t="n"/>
      <c r="I100" s="41" t="n"/>
      <c r="J100" s="41" t="n"/>
      <c r="K100" s="41" t="n"/>
      <c r="L100" s="44" t="n"/>
      <c r="M100" s="45" t="n"/>
      <c r="N100" s="43" t="n"/>
      <c r="O100" s="46" t="n"/>
    </row>
    <row r="101" ht="15.75" customHeight="1" s="25">
      <c r="A101" s="34">
        <f>IF(G101="","","Q-"&amp;TEXT(ROW()-4,"000"))</f>
        <v/>
      </c>
      <c r="B101" s="41" t="n"/>
      <c r="C101" s="41" t="n"/>
      <c r="D101" s="41" t="n"/>
      <c r="E101" s="42" t="n"/>
      <c r="F101" s="41" t="n"/>
      <c r="G101" s="41" t="n"/>
      <c r="H101" s="43" t="n"/>
      <c r="I101" s="41" t="n"/>
      <c r="J101" s="41" t="n"/>
      <c r="K101" s="41" t="n"/>
      <c r="L101" s="44" t="n"/>
      <c r="M101" s="45" t="n"/>
      <c r="N101" s="43" t="n"/>
      <c r="O101" s="46" t="n"/>
    </row>
    <row r="102" ht="15.75" customHeight="1" s="25">
      <c r="A102" s="34">
        <f>IF(G102="","","Q-"&amp;TEXT(ROW()-4,"000"))</f>
        <v/>
      </c>
      <c r="B102" s="41" t="n"/>
      <c r="C102" s="41" t="n"/>
      <c r="D102" s="41" t="n"/>
      <c r="E102" s="42" t="n"/>
      <c r="F102" s="41" t="n"/>
      <c r="G102" s="41" t="n"/>
      <c r="H102" s="43" t="n"/>
      <c r="I102" s="41" t="n"/>
      <c r="J102" s="41" t="n"/>
      <c r="K102" s="41" t="n"/>
      <c r="L102" s="44" t="n"/>
      <c r="M102" s="45" t="n"/>
      <c r="N102" s="43" t="n"/>
      <c r="O102" s="46" t="n"/>
    </row>
    <row r="103" ht="15.75" customHeight="1" s="25">
      <c r="A103" s="34">
        <f>IF(G103="","","Q-"&amp;TEXT(ROW()-4,"000"))</f>
        <v/>
      </c>
      <c r="B103" s="41" t="n"/>
      <c r="C103" s="41" t="n"/>
      <c r="D103" s="41" t="n"/>
      <c r="E103" s="42" t="n"/>
      <c r="F103" s="41" t="n"/>
      <c r="G103" s="41" t="n"/>
      <c r="H103" s="43" t="n"/>
      <c r="I103" s="41" t="n"/>
      <c r="J103" s="41" t="n"/>
      <c r="K103" s="41" t="n"/>
      <c r="L103" s="44" t="n"/>
      <c r="M103" s="45" t="n"/>
      <c r="N103" s="43" t="n"/>
      <c r="O103" s="46" t="n"/>
    </row>
    <row r="104" ht="15.75" customHeight="1" s="25">
      <c r="A104" s="34">
        <f>IF(G104="","","Q-"&amp;TEXT(ROW()-4,"000"))</f>
        <v/>
      </c>
      <c r="B104" s="41" t="n"/>
      <c r="C104" s="41" t="n"/>
      <c r="D104" s="41" t="n"/>
      <c r="E104" s="42" t="n"/>
      <c r="F104" s="41" t="n"/>
      <c r="G104" s="41" t="n"/>
      <c r="H104" s="43" t="n"/>
      <c r="I104" s="41" t="n"/>
      <c r="J104" s="41" t="n"/>
      <c r="K104" s="41" t="n"/>
      <c r="L104" s="44" t="n"/>
      <c r="M104" s="45" t="n"/>
      <c r="N104" s="43" t="n"/>
      <c r="O104" s="46" t="n"/>
    </row>
    <row r="105" ht="15.75" customHeight="1" s="25">
      <c r="A105" s="34">
        <f>IF(G105="","","Q-"&amp;TEXT(ROW()-4,"000"))</f>
        <v/>
      </c>
      <c r="B105" s="41" t="n"/>
      <c r="C105" s="41" t="n"/>
      <c r="D105" s="41" t="n"/>
      <c r="E105" s="42" t="n"/>
      <c r="F105" s="41" t="n"/>
      <c r="G105" s="41" t="n"/>
      <c r="H105" s="43" t="n"/>
      <c r="I105" s="41" t="n"/>
      <c r="J105" s="41" t="n"/>
      <c r="K105" s="41" t="n"/>
      <c r="L105" s="44" t="n"/>
      <c r="M105" s="45" t="n"/>
      <c r="N105" s="43" t="n"/>
      <c r="O105" s="46" t="n"/>
    </row>
    <row r="106" ht="15.75" customHeight="1" s="25">
      <c r="A106" s="34">
        <f>IF(G106="","","Q-"&amp;TEXT(ROW()-4,"000"))</f>
        <v/>
      </c>
      <c r="B106" s="41" t="n"/>
      <c r="C106" s="41" t="n"/>
      <c r="D106" s="41" t="n"/>
      <c r="E106" s="42" t="n"/>
      <c r="F106" s="41" t="n"/>
      <c r="G106" s="41" t="n"/>
      <c r="H106" s="43" t="n"/>
      <c r="I106" s="41" t="n"/>
      <c r="J106" s="41" t="n"/>
      <c r="K106" s="41" t="n"/>
      <c r="L106" s="44" t="n"/>
      <c r="M106" s="45" t="n"/>
      <c r="N106" s="43" t="n"/>
      <c r="O106" s="46" t="n"/>
    </row>
    <row r="107" ht="15.75" customHeight="1" s="25">
      <c r="A107" s="34">
        <f>IF(G107="","","Q-"&amp;TEXT(ROW()-4,"000"))</f>
        <v/>
      </c>
      <c r="B107" s="41" t="n"/>
      <c r="C107" s="41" t="n"/>
      <c r="D107" s="41" t="n"/>
      <c r="E107" s="42" t="n"/>
      <c r="F107" s="41" t="n"/>
      <c r="G107" s="41" t="n"/>
      <c r="H107" s="43" t="n"/>
      <c r="I107" s="41" t="n"/>
      <c r="J107" s="41" t="n"/>
      <c r="K107" s="41" t="n"/>
      <c r="L107" s="44" t="n"/>
      <c r="M107" s="45" t="n"/>
      <c r="N107" s="43" t="n"/>
      <c r="O107" s="46" t="n"/>
    </row>
    <row r="108" ht="15.75" customHeight="1" s="25">
      <c r="A108" s="34">
        <f>IF(G108="","","Q-"&amp;TEXT(ROW()-4,"000"))</f>
        <v/>
      </c>
      <c r="B108" s="41" t="n"/>
      <c r="C108" s="41" t="n"/>
      <c r="D108" s="41" t="n"/>
      <c r="E108" s="42" t="n"/>
      <c r="F108" s="41" t="n"/>
      <c r="G108" s="41" t="n"/>
      <c r="H108" s="43" t="n"/>
      <c r="I108" s="41" t="n"/>
      <c r="J108" s="41" t="n"/>
      <c r="K108" s="41" t="n"/>
      <c r="L108" s="44" t="n"/>
      <c r="M108" s="45" t="n"/>
      <c r="N108" s="43" t="n"/>
      <c r="O108" s="46" t="n"/>
    </row>
    <row r="109" ht="15.75" customHeight="1" s="25">
      <c r="A109" s="34">
        <f>IF(G109="","","Q-"&amp;TEXT(ROW()-4,"000"))</f>
        <v/>
      </c>
      <c r="B109" s="41" t="n"/>
      <c r="C109" s="41" t="n"/>
      <c r="D109" s="41" t="n"/>
      <c r="E109" s="42" t="n"/>
      <c r="F109" s="41" t="n"/>
      <c r="G109" s="41" t="n"/>
      <c r="H109" s="43" t="n"/>
      <c r="I109" s="41" t="n"/>
      <c r="J109" s="41" t="n"/>
      <c r="K109" s="41" t="n"/>
      <c r="L109" s="44" t="n"/>
      <c r="M109" s="45" t="n"/>
      <c r="N109" s="43" t="n"/>
      <c r="O109" s="46" t="n"/>
    </row>
    <row r="110" ht="15.75" customHeight="1" s="25">
      <c r="A110" s="34">
        <f>IF(G110="","","Q-"&amp;TEXT(ROW()-4,"000"))</f>
        <v/>
      </c>
      <c r="B110" s="41" t="n"/>
      <c r="C110" s="41" t="n"/>
      <c r="D110" s="41" t="n"/>
      <c r="E110" s="42" t="n"/>
      <c r="F110" s="41" t="n"/>
      <c r="G110" s="41" t="n"/>
      <c r="H110" s="43" t="n"/>
      <c r="I110" s="41" t="n"/>
      <c r="J110" s="41" t="n"/>
      <c r="K110" s="41" t="n"/>
      <c r="L110" s="44" t="n"/>
      <c r="M110" s="45" t="n"/>
      <c r="N110" s="43" t="n"/>
      <c r="O110" s="46" t="n"/>
    </row>
    <row r="111" ht="15.75" customHeight="1" s="25">
      <c r="A111" s="34">
        <f>IF(G111="","","Q-"&amp;TEXT(ROW()-4,"000"))</f>
        <v/>
      </c>
      <c r="B111" s="41" t="n"/>
      <c r="C111" s="41" t="n"/>
      <c r="D111" s="41" t="n"/>
      <c r="E111" s="42" t="n"/>
      <c r="F111" s="41" t="n"/>
      <c r="G111" s="41" t="n"/>
      <c r="H111" s="43" t="n"/>
      <c r="I111" s="41" t="n"/>
      <c r="J111" s="41" t="n"/>
      <c r="K111" s="41" t="n"/>
      <c r="L111" s="44" t="n"/>
      <c r="M111" s="45" t="n"/>
      <c r="N111" s="43" t="n"/>
      <c r="O111" s="46" t="n"/>
    </row>
    <row r="112" ht="15.75" customHeight="1" s="25">
      <c r="A112" s="34">
        <f>IF(G112="","","Q-"&amp;TEXT(ROW()-4,"000"))</f>
        <v/>
      </c>
      <c r="B112" s="41" t="n"/>
      <c r="C112" s="41" t="n"/>
      <c r="D112" s="41" t="n"/>
      <c r="E112" s="42" t="n"/>
      <c r="F112" s="41" t="n"/>
      <c r="G112" s="41" t="n"/>
      <c r="H112" s="43" t="n"/>
      <c r="I112" s="41" t="n"/>
      <c r="J112" s="41" t="n"/>
      <c r="K112" s="41" t="n"/>
      <c r="L112" s="44" t="n"/>
      <c r="M112" s="45" t="n"/>
      <c r="N112" s="43" t="n"/>
      <c r="O112" s="46" t="n"/>
    </row>
    <row r="113" ht="15.75" customHeight="1" s="25">
      <c r="A113" s="34">
        <f>IF(G113="","","Q-"&amp;TEXT(ROW()-4,"000"))</f>
        <v/>
      </c>
      <c r="B113" s="41" t="n"/>
      <c r="C113" s="41" t="n"/>
      <c r="D113" s="41" t="n"/>
      <c r="E113" s="42" t="n"/>
      <c r="F113" s="41" t="n"/>
      <c r="G113" s="41" t="n"/>
      <c r="H113" s="43" t="n"/>
      <c r="I113" s="41" t="n"/>
      <c r="J113" s="41" t="n"/>
      <c r="K113" s="41" t="n"/>
      <c r="L113" s="44" t="n"/>
      <c r="M113" s="45" t="n"/>
      <c r="N113" s="43" t="n"/>
      <c r="O113" s="46" t="n"/>
    </row>
    <row r="114" ht="15.75" customHeight="1" s="25">
      <c r="A114" s="34">
        <f>IF(G114="","","Q-"&amp;TEXT(ROW()-4,"000"))</f>
        <v/>
      </c>
      <c r="B114" s="41" t="n"/>
      <c r="C114" s="41" t="n"/>
      <c r="D114" s="41" t="n"/>
      <c r="E114" s="42" t="n"/>
      <c r="F114" s="41" t="n"/>
      <c r="G114" s="41" t="n"/>
      <c r="H114" s="43" t="n"/>
      <c r="I114" s="41" t="n"/>
      <c r="J114" s="41" t="n"/>
      <c r="K114" s="41" t="n"/>
      <c r="L114" s="44" t="n"/>
      <c r="M114" s="45" t="n"/>
      <c r="N114" s="43" t="n"/>
      <c r="O114" s="46" t="n"/>
    </row>
    <row r="115" ht="15.75" customHeight="1" s="25">
      <c r="A115" s="34">
        <f>IF(G115="","","Q-"&amp;TEXT(ROW()-4,"000"))</f>
        <v/>
      </c>
      <c r="B115" s="41" t="n"/>
      <c r="C115" s="41" t="n"/>
      <c r="D115" s="41" t="n"/>
      <c r="E115" s="42" t="n"/>
      <c r="F115" s="41" t="n"/>
      <c r="G115" s="41" t="n"/>
      <c r="H115" s="43" t="n"/>
      <c r="I115" s="41" t="n"/>
      <c r="J115" s="41" t="n"/>
      <c r="K115" s="41" t="n"/>
      <c r="L115" s="44" t="n"/>
      <c r="M115" s="45" t="n"/>
      <c r="N115" s="43" t="n"/>
      <c r="O115" s="46" t="n"/>
    </row>
    <row r="116" ht="15.75" customHeight="1" s="25">
      <c r="A116" s="34">
        <f>IF(G116="","","Q-"&amp;TEXT(ROW()-4,"000"))</f>
        <v/>
      </c>
      <c r="B116" s="41" t="n"/>
      <c r="C116" s="41" t="n"/>
      <c r="D116" s="41" t="n"/>
      <c r="E116" s="42" t="n"/>
      <c r="F116" s="41" t="n"/>
      <c r="G116" s="41" t="n"/>
      <c r="H116" s="43" t="n"/>
      <c r="I116" s="41" t="n"/>
      <c r="J116" s="41" t="n"/>
      <c r="K116" s="41" t="n"/>
      <c r="L116" s="44" t="n"/>
      <c r="M116" s="45" t="n"/>
      <c r="N116" s="43" t="n"/>
      <c r="O116" s="46" t="n"/>
    </row>
    <row r="117" ht="15.75" customHeight="1" s="25">
      <c r="A117" s="34">
        <f>IF(G117="","","Q-"&amp;TEXT(ROW()-4,"000"))</f>
        <v/>
      </c>
      <c r="B117" s="41" t="n"/>
      <c r="C117" s="41" t="n"/>
      <c r="D117" s="41" t="n"/>
      <c r="E117" s="42" t="n"/>
      <c r="F117" s="41" t="n"/>
      <c r="G117" s="41" t="n"/>
      <c r="H117" s="43" t="n"/>
      <c r="I117" s="41" t="n"/>
      <c r="J117" s="41" t="n"/>
      <c r="K117" s="41" t="n"/>
      <c r="L117" s="44" t="n"/>
      <c r="M117" s="45" t="n"/>
      <c r="N117" s="43" t="n"/>
      <c r="O117" s="46" t="n"/>
    </row>
    <row r="118" ht="15.75" customHeight="1" s="25">
      <c r="A118" s="34">
        <f>IF(G118="","","Q-"&amp;TEXT(ROW()-4,"000"))</f>
        <v/>
      </c>
      <c r="B118" s="41" t="n"/>
      <c r="C118" s="41" t="n"/>
      <c r="D118" s="41" t="n"/>
      <c r="E118" s="42" t="n"/>
      <c r="F118" s="41" t="n"/>
      <c r="G118" s="41" t="n"/>
      <c r="H118" s="43" t="n"/>
      <c r="I118" s="41" t="n"/>
      <c r="J118" s="41" t="n"/>
      <c r="K118" s="41" t="n"/>
      <c r="L118" s="44" t="n"/>
      <c r="M118" s="45" t="n"/>
      <c r="N118" s="43" t="n"/>
      <c r="O118" s="46" t="n"/>
    </row>
    <row r="119" ht="15.75" customHeight="1" s="25">
      <c r="A119" s="34">
        <f>IF(G119="","","Q-"&amp;TEXT(ROW()-4,"000"))</f>
        <v/>
      </c>
      <c r="B119" s="41" t="n"/>
      <c r="C119" s="41" t="n"/>
      <c r="D119" s="41" t="n"/>
      <c r="E119" s="42" t="n"/>
      <c r="F119" s="41" t="n"/>
      <c r="G119" s="41" t="n"/>
      <c r="H119" s="43" t="n"/>
      <c r="I119" s="41" t="n"/>
      <c r="J119" s="41" t="n"/>
      <c r="K119" s="41" t="n"/>
      <c r="L119" s="44" t="n"/>
      <c r="M119" s="45" t="n"/>
      <c r="N119" s="43" t="n"/>
      <c r="O119" s="46" t="n"/>
    </row>
    <row r="120" ht="15.75" customHeight="1" s="25">
      <c r="A120" s="34">
        <f>IF(G120="","","Q-"&amp;TEXT(ROW()-4,"000"))</f>
        <v/>
      </c>
      <c r="B120" s="41" t="n"/>
      <c r="C120" s="41" t="n"/>
      <c r="D120" s="41" t="n"/>
      <c r="E120" s="42" t="n"/>
      <c r="F120" s="41" t="n"/>
      <c r="G120" s="41" t="n"/>
      <c r="H120" s="43" t="n"/>
      <c r="I120" s="41" t="n"/>
      <c r="J120" s="41" t="n"/>
      <c r="K120" s="41" t="n"/>
      <c r="L120" s="44" t="n"/>
      <c r="M120" s="45" t="n"/>
      <c r="N120" s="43" t="n"/>
      <c r="O120" s="46" t="n"/>
    </row>
    <row r="121" ht="15.75" customHeight="1" s="25">
      <c r="A121" s="34">
        <f>IF(G121="","","Q-"&amp;TEXT(ROW()-4,"000"))</f>
        <v/>
      </c>
      <c r="B121" s="41" t="n"/>
      <c r="C121" s="41" t="n"/>
      <c r="D121" s="41" t="n"/>
      <c r="E121" s="42" t="n"/>
      <c r="F121" s="41" t="n"/>
      <c r="G121" s="41" t="n"/>
      <c r="H121" s="43" t="n"/>
      <c r="I121" s="41" t="n"/>
      <c r="J121" s="41" t="n"/>
      <c r="K121" s="41" t="n"/>
      <c r="L121" s="44" t="n"/>
      <c r="M121" s="45" t="n"/>
      <c r="N121" s="43" t="n"/>
      <c r="O121" s="46" t="n"/>
    </row>
    <row r="122" ht="15.75" customHeight="1" s="25">
      <c r="A122" s="34">
        <f>IF(G122="","","Q-"&amp;TEXT(ROW()-4,"000"))</f>
        <v/>
      </c>
      <c r="B122" s="41" t="n"/>
      <c r="C122" s="41" t="n"/>
      <c r="D122" s="41" t="n"/>
      <c r="E122" s="42" t="n"/>
      <c r="F122" s="41" t="n"/>
      <c r="G122" s="41" t="n"/>
      <c r="H122" s="43" t="n"/>
      <c r="I122" s="41" t="n"/>
      <c r="J122" s="41" t="n"/>
      <c r="K122" s="41" t="n"/>
      <c r="L122" s="44" t="n"/>
      <c r="M122" s="45" t="n"/>
      <c r="N122" s="43" t="n"/>
      <c r="O122" s="46" t="n"/>
    </row>
    <row r="123" ht="15.75" customHeight="1" s="25">
      <c r="A123" s="34">
        <f>IF(G123="","","Q-"&amp;TEXT(ROW()-4,"000"))</f>
        <v/>
      </c>
      <c r="B123" s="41" t="n"/>
      <c r="C123" s="41" t="n"/>
      <c r="D123" s="41" t="n"/>
      <c r="E123" s="42" t="n"/>
      <c r="F123" s="41" t="n"/>
      <c r="G123" s="41" t="n"/>
      <c r="H123" s="43" t="n"/>
      <c r="I123" s="41" t="n"/>
      <c r="J123" s="41" t="n"/>
      <c r="K123" s="41" t="n"/>
      <c r="L123" s="44" t="n"/>
      <c r="M123" s="45" t="n"/>
      <c r="N123" s="43" t="n"/>
      <c r="O123" s="46" t="n"/>
    </row>
    <row r="124" ht="15.75" customHeight="1" s="25">
      <c r="A124" s="34">
        <f>IF(G124="","","Q-"&amp;TEXT(ROW()-4,"000"))</f>
        <v/>
      </c>
      <c r="B124" s="41" t="n"/>
      <c r="C124" s="41" t="n"/>
      <c r="D124" s="41" t="n"/>
      <c r="E124" s="42" t="n"/>
      <c r="F124" s="41" t="n"/>
      <c r="G124" s="41" t="n"/>
      <c r="H124" s="43" t="n"/>
      <c r="I124" s="41" t="n"/>
      <c r="J124" s="41" t="n"/>
      <c r="K124" s="41" t="n"/>
      <c r="L124" s="44" t="n"/>
      <c r="M124" s="45" t="n"/>
      <c r="N124" s="43" t="n"/>
      <c r="O124" s="46" t="n"/>
    </row>
    <row r="125" ht="15.75" customHeight="1" s="25">
      <c r="A125" s="34">
        <f>IF(G125="","","Q-"&amp;TEXT(ROW()-4,"000"))</f>
        <v/>
      </c>
      <c r="B125" s="41" t="n"/>
      <c r="C125" s="41" t="n"/>
      <c r="D125" s="41" t="n"/>
      <c r="E125" s="42" t="n"/>
      <c r="F125" s="41" t="n"/>
      <c r="G125" s="41" t="n"/>
      <c r="H125" s="43" t="n"/>
      <c r="I125" s="41" t="n"/>
      <c r="J125" s="41" t="n"/>
      <c r="K125" s="41" t="n"/>
      <c r="L125" s="44" t="n"/>
      <c r="M125" s="45" t="n"/>
      <c r="N125" s="43" t="n"/>
      <c r="O125" s="46" t="n"/>
    </row>
    <row r="126" ht="15.75" customHeight="1" s="25">
      <c r="A126" s="34">
        <f>IF(G126="","","Q-"&amp;TEXT(ROW()-4,"000"))</f>
        <v/>
      </c>
      <c r="B126" s="41" t="n"/>
      <c r="C126" s="41" t="n"/>
      <c r="D126" s="41" t="n"/>
      <c r="E126" s="42" t="n"/>
      <c r="F126" s="41" t="n"/>
      <c r="G126" s="41" t="n"/>
      <c r="H126" s="43" t="n"/>
      <c r="I126" s="41" t="n"/>
      <c r="J126" s="41" t="n"/>
      <c r="K126" s="41" t="n"/>
      <c r="L126" s="44" t="n"/>
      <c r="M126" s="45" t="n"/>
      <c r="N126" s="43" t="n"/>
      <c r="O126" s="46" t="n"/>
    </row>
    <row r="127" ht="15.75" customHeight="1" s="25">
      <c r="A127" s="34">
        <f>IF(G127="","","Q-"&amp;TEXT(ROW()-4,"000"))</f>
        <v/>
      </c>
      <c r="B127" s="41" t="n"/>
      <c r="C127" s="41" t="n"/>
      <c r="D127" s="41" t="n"/>
      <c r="E127" s="42" t="n"/>
      <c r="F127" s="41" t="n"/>
      <c r="G127" s="41" t="n"/>
      <c r="H127" s="43" t="n"/>
      <c r="I127" s="41" t="n"/>
      <c r="J127" s="41" t="n"/>
      <c r="K127" s="41" t="n"/>
      <c r="L127" s="44" t="n"/>
      <c r="M127" s="45" t="n"/>
      <c r="N127" s="43" t="n"/>
      <c r="O127" s="46" t="n"/>
    </row>
    <row r="128" ht="15.75" customHeight="1" s="25">
      <c r="A128" s="34">
        <f>IF(G128="","","Q-"&amp;TEXT(ROW()-4,"000"))</f>
        <v/>
      </c>
      <c r="B128" s="41" t="n"/>
      <c r="C128" s="41" t="n"/>
      <c r="D128" s="41" t="n"/>
      <c r="E128" s="42" t="n"/>
      <c r="F128" s="41" t="n"/>
      <c r="G128" s="41" t="n"/>
      <c r="H128" s="43" t="n"/>
      <c r="I128" s="41" t="n"/>
      <c r="J128" s="41" t="n"/>
      <c r="K128" s="41" t="n"/>
      <c r="L128" s="44" t="n"/>
      <c r="M128" s="45" t="n"/>
      <c r="N128" s="43" t="n"/>
      <c r="O128" s="46" t="n"/>
    </row>
    <row r="129" ht="15.75" customHeight="1" s="25">
      <c r="A129" s="34">
        <f>IF(G129="","","Q-"&amp;TEXT(ROW()-4,"000"))</f>
        <v/>
      </c>
      <c r="B129" s="41" t="n"/>
      <c r="C129" s="41" t="n"/>
      <c r="D129" s="41" t="n"/>
      <c r="E129" s="42" t="n"/>
      <c r="F129" s="41" t="n"/>
      <c r="G129" s="41" t="n"/>
      <c r="H129" s="43" t="n"/>
      <c r="I129" s="41" t="n"/>
      <c r="J129" s="41" t="n"/>
      <c r="K129" s="41" t="n"/>
      <c r="L129" s="44" t="n"/>
      <c r="M129" s="45" t="n"/>
      <c r="N129" s="43" t="n"/>
      <c r="O129" s="46" t="n"/>
    </row>
    <row r="130" ht="15.75" customHeight="1" s="25">
      <c r="A130" s="34">
        <f>IF(G130="","","Q-"&amp;TEXT(ROW()-4,"000"))</f>
        <v/>
      </c>
      <c r="B130" s="41" t="n"/>
      <c r="C130" s="41" t="n"/>
      <c r="D130" s="41" t="n"/>
      <c r="E130" s="42" t="n"/>
      <c r="F130" s="41" t="n"/>
      <c r="G130" s="41" t="n"/>
      <c r="H130" s="43" t="n"/>
      <c r="I130" s="41" t="n"/>
      <c r="J130" s="41" t="n"/>
      <c r="K130" s="41" t="n"/>
      <c r="L130" s="44" t="n"/>
      <c r="M130" s="45" t="n"/>
      <c r="N130" s="43" t="n"/>
      <c r="O130" s="46" t="n"/>
    </row>
    <row r="131" ht="15.75" customHeight="1" s="25">
      <c r="A131" s="34">
        <f>IF(G131="","","Q-"&amp;TEXT(ROW()-4,"000"))</f>
        <v/>
      </c>
      <c r="B131" s="41" t="n"/>
      <c r="C131" s="41" t="n"/>
      <c r="D131" s="41" t="n"/>
      <c r="E131" s="42" t="n"/>
      <c r="F131" s="41" t="n"/>
      <c r="G131" s="41" t="n"/>
      <c r="H131" s="43" t="n"/>
      <c r="I131" s="41" t="n"/>
      <c r="J131" s="41" t="n"/>
      <c r="K131" s="41" t="n"/>
      <c r="L131" s="44" t="n"/>
      <c r="M131" s="45" t="n"/>
      <c r="N131" s="43" t="n"/>
      <c r="O131" s="46" t="n"/>
    </row>
    <row r="132" ht="15.75" customHeight="1" s="25">
      <c r="A132" s="34">
        <f>IF(G132="","","Q-"&amp;TEXT(ROW()-4,"000"))</f>
        <v/>
      </c>
      <c r="B132" s="41" t="n"/>
      <c r="C132" s="41" t="n"/>
      <c r="D132" s="41" t="n"/>
      <c r="E132" s="42" t="n"/>
      <c r="F132" s="41" t="n"/>
      <c r="G132" s="41" t="n"/>
      <c r="H132" s="43" t="n"/>
      <c r="I132" s="41" t="n"/>
      <c r="J132" s="41" t="n"/>
      <c r="K132" s="41" t="n"/>
      <c r="L132" s="44" t="n"/>
      <c r="M132" s="45" t="n"/>
      <c r="N132" s="43" t="n"/>
      <c r="O132" s="46" t="n"/>
    </row>
    <row r="133" ht="15.75" customHeight="1" s="25">
      <c r="A133" s="34">
        <f>IF(G133="","","Q-"&amp;TEXT(ROW()-4,"000"))</f>
        <v/>
      </c>
      <c r="B133" s="41" t="n"/>
      <c r="C133" s="41" t="n"/>
      <c r="D133" s="41" t="n"/>
      <c r="E133" s="42" t="n"/>
      <c r="F133" s="41" t="n"/>
      <c r="G133" s="41" t="n"/>
      <c r="H133" s="43" t="n"/>
      <c r="I133" s="41" t="n"/>
      <c r="J133" s="41" t="n"/>
      <c r="K133" s="41" t="n"/>
      <c r="L133" s="44" t="n"/>
      <c r="M133" s="45" t="n"/>
      <c r="N133" s="43" t="n"/>
      <c r="O133" s="46" t="n"/>
    </row>
    <row r="134" ht="15.75" customHeight="1" s="25">
      <c r="A134" s="34">
        <f>IF(G134="","","Q-"&amp;TEXT(ROW()-4,"000"))</f>
        <v/>
      </c>
      <c r="B134" s="41" t="n"/>
      <c r="C134" s="41" t="n"/>
      <c r="D134" s="41" t="n"/>
      <c r="E134" s="42" t="n"/>
      <c r="F134" s="41" t="n"/>
      <c r="G134" s="41" t="n"/>
      <c r="H134" s="43" t="n"/>
      <c r="I134" s="41" t="n"/>
      <c r="J134" s="41" t="n"/>
      <c r="K134" s="41" t="n"/>
      <c r="L134" s="44" t="n"/>
      <c r="M134" s="45" t="n"/>
      <c r="N134" s="43" t="n"/>
      <c r="O134" s="46" t="n"/>
    </row>
    <row r="135" ht="15.75" customHeight="1" s="25">
      <c r="A135" s="34">
        <f>IF(G135="","","Q-"&amp;TEXT(ROW()-4,"000"))</f>
        <v/>
      </c>
      <c r="B135" s="41" t="n"/>
      <c r="C135" s="41" t="n"/>
      <c r="D135" s="41" t="n"/>
      <c r="E135" s="42" t="n"/>
      <c r="F135" s="41" t="n"/>
      <c r="G135" s="41" t="n"/>
      <c r="H135" s="43" t="n"/>
      <c r="I135" s="41" t="n"/>
      <c r="J135" s="41" t="n"/>
      <c r="K135" s="41" t="n"/>
      <c r="L135" s="44" t="n"/>
      <c r="M135" s="45" t="n"/>
      <c r="N135" s="43" t="n"/>
      <c r="O135" s="46" t="n"/>
    </row>
    <row r="136" ht="15.75" customHeight="1" s="25">
      <c r="A136" s="34">
        <f>IF(G136="","","Q-"&amp;TEXT(ROW()-4,"000"))</f>
        <v/>
      </c>
      <c r="B136" s="41" t="n"/>
      <c r="C136" s="41" t="n"/>
      <c r="D136" s="41" t="n"/>
      <c r="E136" s="42" t="n"/>
      <c r="F136" s="41" t="n"/>
      <c r="G136" s="41" t="n"/>
      <c r="H136" s="43" t="n"/>
      <c r="I136" s="41" t="n"/>
      <c r="J136" s="41" t="n"/>
      <c r="K136" s="41" t="n"/>
      <c r="L136" s="44" t="n"/>
      <c r="M136" s="45" t="n"/>
      <c r="N136" s="43" t="n"/>
      <c r="O136" s="46" t="n"/>
    </row>
    <row r="137" ht="15.75" customHeight="1" s="25">
      <c r="A137" s="34">
        <f>IF(G137="","","Q-"&amp;TEXT(ROW()-4,"000"))</f>
        <v/>
      </c>
      <c r="B137" s="41" t="n"/>
      <c r="C137" s="41" t="n"/>
      <c r="D137" s="41" t="n"/>
      <c r="E137" s="42" t="n"/>
      <c r="F137" s="41" t="n"/>
      <c r="G137" s="41" t="n"/>
      <c r="H137" s="43" t="n"/>
      <c r="I137" s="41" t="n"/>
      <c r="J137" s="41" t="n"/>
      <c r="K137" s="41" t="n"/>
      <c r="L137" s="44" t="n"/>
      <c r="M137" s="45" t="n"/>
      <c r="N137" s="43" t="n"/>
      <c r="O137" s="46" t="n"/>
    </row>
    <row r="138" ht="15.75" customHeight="1" s="25">
      <c r="A138" s="34">
        <f>IF(G138="","","Q-"&amp;TEXT(ROW()-4,"000"))</f>
        <v/>
      </c>
      <c r="B138" s="41" t="n"/>
      <c r="C138" s="41" t="n"/>
      <c r="D138" s="41" t="n"/>
      <c r="E138" s="42" t="n"/>
      <c r="F138" s="41" t="n"/>
      <c r="G138" s="41" t="n"/>
      <c r="H138" s="43" t="n"/>
      <c r="I138" s="41" t="n"/>
      <c r="J138" s="41" t="n"/>
      <c r="K138" s="41" t="n"/>
      <c r="L138" s="44" t="n"/>
      <c r="M138" s="45" t="n"/>
      <c r="N138" s="43" t="n"/>
      <c r="O138" s="46" t="n"/>
    </row>
    <row r="139" ht="15.75" customHeight="1" s="25">
      <c r="A139" s="34">
        <f>IF(G139="","","Q-"&amp;TEXT(ROW()-4,"000"))</f>
        <v/>
      </c>
      <c r="B139" s="41" t="n"/>
      <c r="C139" s="41" t="n"/>
      <c r="D139" s="41" t="n"/>
      <c r="E139" s="42" t="n"/>
      <c r="F139" s="41" t="n"/>
      <c r="G139" s="41" t="n"/>
      <c r="H139" s="43" t="n"/>
      <c r="I139" s="41" t="n"/>
      <c r="J139" s="41" t="n"/>
      <c r="K139" s="41" t="n"/>
      <c r="L139" s="44" t="n"/>
      <c r="M139" s="45" t="n"/>
      <c r="N139" s="43" t="n"/>
      <c r="O139" s="46" t="n"/>
    </row>
    <row r="140" ht="15.75" customHeight="1" s="25">
      <c r="A140" s="34">
        <f>IF(G140="","","Q-"&amp;TEXT(ROW()-4,"000"))</f>
        <v/>
      </c>
      <c r="B140" s="41" t="n"/>
      <c r="C140" s="41" t="n"/>
      <c r="D140" s="41" t="n"/>
      <c r="E140" s="42" t="n"/>
      <c r="F140" s="41" t="n"/>
      <c r="G140" s="41" t="n"/>
      <c r="H140" s="43" t="n"/>
      <c r="I140" s="41" t="n"/>
      <c r="J140" s="41" t="n"/>
      <c r="K140" s="41" t="n"/>
      <c r="L140" s="44" t="n"/>
      <c r="M140" s="45" t="n"/>
      <c r="N140" s="43" t="n"/>
      <c r="O140" s="46" t="n"/>
    </row>
    <row r="141" ht="15.75" customHeight="1" s="25">
      <c r="A141" s="34">
        <f>IF(G141="","","Q-"&amp;TEXT(ROW()-4,"000"))</f>
        <v/>
      </c>
      <c r="B141" s="41" t="n"/>
      <c r="C141" s="41" t="n"/>
      <c r="D141" s="41" t="n"/>
      <c r="E141" s="42" t="n"/>
      <c r="F141" s="41" t="n"/>
      <c r="G141" s="41" t="n"/>
      <c r="H141" s="43" t="n"/>
      <c r="I141" s="41" t="n"/>
      <c r="J141" s="41" t="n"/>
      <c r="K141" s="41" t="n"/>
      <c r="L141" s="44" t="n"/>
      <c r="M141" s="45" t="n"/>
      <c r="N141" s="43" t="n"/>
      <c r="O141" s="46" t="n"/>
    </row>
    <row r="142" ht="15.75" customHeight="1" s="25">
      <c r="A142" s="34">
        <f>IF(G142="","","Q-"&amp;TEXT(ROW()-4,"000"))</f>
        <v/>
      </c>
      <c r="B142" s="41" t="n"/>
      <c r="C142" s="41" t="n"/>
      <c r="D142" s="41" t="n"/>
      <c r="E142" s="42" t="n"/>
      <c r="F142" s="41" t="n"/>
      <c r="G142" s="41" t="n"/>
      <c r="H142" s="43" t="n"/>
      <c r="I142" s="41" t="n"/>
      <c r="J142" s="41" t="n"/>
      <c r="K142" s="41" t="n"/>
      <c r="L142" s="44" t="n"/>
      <c r="M142" s="45" t="n"/>
      <c r="N142" s="43" t="n"/>
      <c r="O142" s="46" t="n"/>
    </row>
    <row r="143" ht="15.75" customHeight="1" s="25">
      <c r="A143" s="34">
        <f>IF(G143="","","Q-"&amp;TEXT(ROW()-4,"000"))</f>
        <v/>
      </c>
      <c r="B143" s="41" t="n"/>
      <c r="C143" s="41" t="n"/>
      <c r="D143" s="41" t="n"/>
      <c r="E143" s="42" t="n"/>
      <c r="F143" s="41" t="n"/>
      <c r="G143" s="41" t="n"/>
      <c r="H143" s="43" t="n"/>
      <c r="I143" s="41" t="n"/>
      <c r="J143" s="41" t="n"/>
      <c r="K143" s="41" t="n"/>
      <c r="L143" s="44" t="n"/>
      <c r="M143" s="45" t="n"/>
      <c r="N143" s="43" t="n"/>
      <c r="O143" s="46" t="n"/>
    </row>
    <row r="144" ht="15.75" customHeight="1" s="25">
      <c r="A144" s="34">
        <f>IF(G144="","","Q-"&amp;TEXT(ROW()-4,"000"))</f>
        <v/>
      </c>
      <c r="B144" s="41" t="n"/>
      <c r="C144" s="41" t="n"/>
      <c r="D144" s="41" t="n"/>
      <c r="E144" s="42" t="n"/>
      <c r="F144" s="41" t="n"/>
      <c r="G144" s="41" t="n"/>
      <c r="H144" s="43" t="n"/>
      <c r="I144" s="41" t="n"/>
      <c r="J144" s="41" t="n"/>
      <c r="K144" s="41" t="n"/>
      <c r="L144" s="44" t="n"/>
      <c r="M144" s="45" t="n"/>
      <c r="N144" s="43" t="n"/>
      <c r="O144" s="46" t="n"/>
    </row>
    <row r="145" ht="15.75" customHeight="1" s="25">
      <c r="A145" s="34">
        <f>IF(G145="","","Q-"&amp;TEXT(ROW()-4,"000"))</f>
        <v/>
      </c>
      <c r="B145" s="41" t="n"/>
      <c r="C145" s="41" t="n"/>
      <c r="D145" s="41" t="n"/>
      <c r="E145" s="42" t="n"/>
      <c r="F145" s="41" t="n"/>
      <c r="G145" s="41" t="n"/>
      <c r="H145" s="43" t="n"/>
      <c r="I145" s="41" t="n"/>
      <c r="J145" s="41" t="n"/>
      <c r="K145" s="41" t="n"/>
      <c r="L145" s="44" t="n"/>
      <c r="M145" s="45" t="n"/>
      <c r="N145" s="43" t="n"/>
      <c r="O145" s="46" t="n"/>
    </row>
    <row r="146" ht="15.75" customHeight="1" s="25">
      <c r="A146" s="34">
        <f>IF(G146="","","Q-"&amp;TEXT(ROW()-4,"000"))</f>
        <v/>
      </c>
      <c r="B146" s="41" t="n"/>
      <c r="C146" s="41" t="n"/>
      <c r="D146" s="41" t="n"/>
      <c r="E146" s="42" t="n"/>
      <c r="F146" s="41" t="n"/>
      <c r="G146" s="41" t="n"/>
      <c r="H146" s="43" t="n"/>
      <c r="I146" s="41" t="n"/>
      <c r="J146" s="41" t="n"/>
      <c r="K146" s="41" t="n"/>
      <c r="L146" s="44" t="n"/>
      <c r="M146" s="45" t="n"/>
      <c r="N146" s="43" t="n"/>
      <c r="O146" s="46" t="n"/>
    </row>
    <row r="147" ht="15.75" customHeight="1" s="25">
      <c r="A147" s="34">
        <f>IF(G147="","","Q-"&amp;TEXT(ROW()-4,"000"))</f>
        <v/>
      </c>
      <c r="B147" s="41" t="n"/>
      <c r="C147" s="41" t="n"/>
      <c r="D147" s="41" t="n"/>
      <c r="E147" s="42" t="n"/>
      <c r="F147" s="41" t="n"/>
      <c r="G147" s="41" t="n"/>
      <c r="H147" s="43" t="n"/>
      <c r="I147" s="41" t="n"/>
      <c r="J147" s="41" t="n"/>
      <c r="K147" s="41" t="n"/>
      <c r="L147" s="44" t="n"/>
      <c r="M147" s="45" t="n"/>
      <c r="N147" s="43" t="n"/>
      <c r="O147" s="46" t="n"/>
    </row>
    <row r="148" ht="15.75" customHeight="1" s="25">
      <c r="A148" s="34">
        <f>IF(G148="","","Q-"&amp;TEXT(ROW()-4,"000"))</f>
        <v/>
      </c>
      <c r="B148" s="41" t="n"/>
      <c r="C148" s="41" t="n"/>
      <c r="D148" s="41" t="n"/>
      <c r="E148" s="42" t="n"/>
      <c r="F148" s="41" t="n"/>
      <c r="G148" s="41" t="n"/>
      <c r="H148" s="43" t="n"/>
      <c r="I148" s="41" t="n"/>
      <c r="J148" s="41" t="n"/>
      <c r="K148" s="41" t="n"/>
      <c r="L148" s="44" t="n"/>
      <c r="M148" s="45" t="n"/>
      <c r="N148" s="43" t="n"/>
      <c r="O148" s="46" t="n"/>
    </row>
    <row r="149" ht="15.75" customHeight="1" s="25">
      <c r="A149" s="34">
        <f>IF(G149="","","Q-"&amp;TEXT(ROW()-4,"000"))</f>
        <v/>
      </c>
      <c r="B149" s="41" t="n"/>
      <c r="C149" s="41" t="n"/>
      <c r="D149" s="41" t="n"/>
      <c r="E149" s="42" t="n"/>
      <c r="F149" s="41" t="n"/>
      <c r="G149" s="41" t="n"/>
      <c r="H149" s="43" t="n"/>
      <c r="I149" s="41" t="n"/>
      <c r="J149" s="41" t="n"/>
      <c r="K149" s="41" t="n"/>
      <c r="L149" s="44" t="n"/>
      <c r="M149" s="45" t="n"/>
      <c r="N149" s="43" t="n"/>
      <c r="O149" s="46" t="n"/>
    </row>
    <row r="150" ht="15.75" customHeight="1" s="25">
      <c r="A150" s="34">
        <f>IF(G150="","","Q-"&amp;TEXT(ROW()-4,"000"))</f>
        <v/>
      </c>
      <c r="B150" s="41" t="n"/>
      <c r="C150" s="41" t="n"/>
      <c r="D150" s="41" t="n"/>
      <c r="E150" s="42" t="n"/>
      <c r="F150" s="41" t="n"/>
      <c r="G150" s="41" t="n"/>
      <c r="H150" s="43" t="n"/>
      <c r="I150" s="41" t="n"/>
      <c r="J150" s="41" t="n"/>
      <c r="K150" s="41" t="n"/>
      <c r="L150" s="44" t="n"/>
      <c r="M150" s="45" t="n"/>
      <c r="N150" s="43" t="n"/>
      <c r="O150" s="46" t="n"/>
    </row>
    <row r="151" ht="15.75" customHeight="1" s="25">
      <c r="A151" s="34">
        <f>IF(G151="","","Q-"&amp;TEXT(ROW()-4,"000"))</f>
        <v/>
      </c>
      <c r="B151" s="41" t="n"/>
      <c r="C151" s="41" t="n"/>
      <c r="D151" s="41" t="n"/>
      <c r="E151" s="42" t="n"/>
      <c r="F151" s="41" t="n"/>
      <c r="G151" s="41" t="n"/>
      <c r="H151" s="43" t="n"/>
      <c r="I151" s="41" t="n"/>
      <c r="J151" s="41" t="n"/>
      <c r="K151" s="41" t="n"/>
      <c r="L151" s="44" t="n"/>
      <c r="M151" s="45" t="n"/>
      <c r="N151" s="43" t="n"/>
      <c r="O151" s="46" t="n"/>
    </row>
    <row r="152" ht="15.75" customHeight="1" s="25">
      <c r="A152" s="34">
        <f>IF(G152="","","Q-"&amp;TEXT(ROW()-4,"000"))</f>
        <v/>
      </c>
      <c r="B152" s="41" t="n"/>
      <c r="C152" s="41" t="n"/>
      <c r="D152" s="41" t="n"/>
      <c r="E152" s="42" t="n"/>
      <c r="F152" s="41" t="n"/>
      <c r="G152" s="41" t="n"/>
      <c r="H152" s="43" t="n"/>
      <c r="I152" s="41" t="n"/>
      <c r="J152" s="41" t="n"/>
      <c r="K152" s="41" t="n"/>
      <c r="L152" s="44" t="n"/>
      <c r="M152" s="45" t="n"/>
      <c r="N152" s="43" t="n"/>
      <c r="O152" s="46" t="n"/>
    </row>
    <row r="153" ht="15.75" customHeight="1" s="25">
      <c r="A153" s="34">
        <f>IF(G153="","","Q-"&amp;TEXT(ROW()-4,"000"))</f>
        <v/>
      </c>
      <c r="B153" s="41" t="n"/>
      <c r="C153" s="41" t="n"/>
      <c r="D153" s="41" t="n"/>
      <c r="E153" s="42" t="n"/>
      <c r="F153" s="41" t="n"/>
      <c r="G153" s="41" t="n"/>
      <c r="H153" s="43" t="n"/>
      <c r="I153" s="41" t="n"/>
      <c r="J153" s="41" t="n"/>
      <c r="K153" s="41" t="n"/>
      <c r="L153" s="44" t="n"/>
      <c r="M153" s="45" t="n"/>
      <c r="N153" s="43" t="n"/>
      <c r="O153" s="46" t="n"/>
    </row>
    <row r="154" ht="15.75" customHeight="1" s="25">
      <c r="A154" s="34">
        <f>IF(G154="","","Q-"&amp;TEXT(ROW()-4,"000"))</f>
        <v/>
      </c>
      <c r="B154" s="41" t="n"/>
      <c r="C154" s="41" t="n"/>
      <c r="D154" s="41" t="n"/>
      <c r="E154" s="42" t="n"/>
      <c r="F154" s="41" t="n"/>
      <c r="G154" s="41" t="n"/>
      <c r="H154" s="43" t="n"/>
      <c r="I154" s="41" t="n"/>
      <c r="J154" s="41" t="n"/>
      <c r="K154" s="41" t="n"/>
      <c r="L154" s="44" t="n"/>
      <c r="M154" s="45" t="n"/>
      <c r="N154" s="43" t="n"/>
      <c r="O154" s="46" t="n"/>
    </row>
    <row r="155" ht="15.75" customHeight="1" s="25">
      <c r="A155" s="34">
        <f>IF(G155="","","Q-"&amp;TEXT(ROW()-4,"000"))</f>
        <v/>
      </c>
      <c r="B155" s="41" t="n"/>
      <c r="C155" s="41" t="n"/>
      <c r="D155" s="41" t="n"/>
      <c r="E155" s="42" t="n"/>
      <c r="F155" s="41" t="n"/>
      <c r="G155" s="41" t="n"/>
      <c r="H155" s="43" t="n"/>
      <c r="I155" s="41" t="n"/>
      <c r="J155" s="41" t="n"/>
      <c r="K155" s="41" t="n"/>
      <c r="L155" s="44" t="n"/>
      <c r="M155" s="45" t="n"/>
      <c r="N155" s="43" t="n"/>
      <c r="O155" s="46" t="n"/>
    </row>
    <row r="156" ht="15.75" customHeight="1" s="25">
      <c r="A156" s="34">
        <f>IF(G156="","","Q-"&amp;TEXT(ROW()-4,"000"))</f>
        <v/>
      </c>
      <c r="B156" s="41" t="n"/>
      <c r="C156" s="41" t="n"/>
      <c r="D156" s="41" t="n"/>
      <c r="E156" s="42" t="n"/>
      <c r="F156" s="41" t="n"/>
      <c r="G156" s="41" t="n"/>
      <c r="H156" s="43" t="n"/>
      <c r="I156" s="41" t="n"/>
      <c r="J156" s="41" t="n"/>
      <c r="K156" s="41" t="n"/>
      <c r="L156" s="44" t="n"/>
      <c r="M156" s="45" t="n"/>
      <c r="N156" s="43" t="n"/>
      <c r="O156" s="46" t="n"/>
    </row>
    <row r="157" ht="15.75" customHeight="1" s="25">
      <c r="A157" s="34">
        <f>IF(G157="","","Q-"&amp;TEXT(ROW()-4,"000"))</f>
        <v/>
      </c>
      <c r="B157" s="41" t="n"/>
      <c r="C157" s="41" t="n"/>
      <c r="D157" s="41" t="n"/>
      <c r="E157" s="42" t="n"/>
      <c r="F157" s="41" t="n"/>
      <c r="G157" s="41" t="n"/>
      <c r="H157" s="43" t="n"/>
      <c r="I157" s="41" t="n"/>
      <c r="J157" s="41" t="n"/>
      <c r="K157" s="41" t="n"/>
      <c r="L157" s="44" t="n"/>
      <c r="M157" s="45" t="n"/>
      <c r="N157" s="43" t="n"/>
      <c r="O157" s="46" t="n"/>
    </row>
    <row r="158" ht="15.75" customHeight="1" s="25">
      <c r="A158" s="34">
        <f>IF(G158="","","Q-"&amp;TEXT(ROW()-4,"000"))</f>
        <v/>
      </c>
      <c r="B158" s="41" t="n"/>
      <c r="C158" s="41" t="n"/>
      <c r="D158" s="41" t="n"/>
      <c r="E158" s="42" t="n"/>
      <c r="F158" s="41" t="n"/>
      <c r="G158" s="41" t="n"/>
      <c r="H158" s="43" t="n"/>
      <c r="I158" s="41" t="n"/>
      <c r="J158" s="41" t="n"/>
      <c r="K158" s="41" t="n"/>
      <c r="L158" s="44" t="n"/>
      <c r="M158" s="45" t="n"/>
      <c r="N158" s="43" t="n"/>
      <c r="O158" s="46" t="n"/>
    </row>
    <row r="159" ht="15.75" customHeight="1" s="25">
      <c r="A159" s="34">
        <f>IF(G159="","","Q-"&amp;TEXT(ROW()-4,"000"))</f>
        <v/>
      </c>
      <c r="B159" s="41" t="n"/>
      <c r="C159" s="41" t="n"/>
      <c r="D159" s="41" t="n"/>
      <c r="E159" s="42" t="n"/>
      <c r="F159" s="41" t="n"/>
      <c r="G159" s="41" t="n"/>
      <c r="H159" s="43" t="n"/>
      <c r="I159" s="41" t="n"/>
      <c r="J159" s="41" t="n"/>
      <c r="K159" s="41" t="n"/>
      <c r="L159" s="44" t="n"/>
      <c r="M159" s="45" t="n"/>
      <c r="N159" s="43" t="n"/>
      <c r="O159" s="46" t="n"/>
    </row>
    <row r="160" ht="15.75" customHeight="1" s="25">
      <c r="A160" s="34">
        <f>IF(G160="","","Q-"&amp;TEXT(ROW()-4,"000"))</f>
        <v/>
      </c>
      <c r="B160" s="41" t="n"/>
      <c r="C160" s="41" t="n"/>
      <c r="D160" s="41" t="n"/>
      <c r="E160" s="42" t="n"/>
      <c r="F160" s="41" t="n"/>
      <c r="G160" s="41" t="n"/>
      <c r="H160" s="43" t="n"/>
      <c r="I160" s="41" t="n"/>
      <c r="J160" s="41" t="n"/>
      <c r="K160" s="41" t="n"/>
      <c r="L160" s="44" t="n"/>
      <c r="M160" s="45" t="n"/>
      <c r="N160" s="43" t="n"/>
      <c r="O160" s="46" t="n"/>
    </row>
    <row r="161" ht="15.75" customHeight="1" s="25">
      <c r="A161" s="34">
        <f>IF(G161="","","Q-"&amp;TEXT(ROW()-4,"000"))</f>
        <v/>
      </c>
      <c r="B161" s="41" t="n"/>
      <c r="C161" s="41" t="n"/>
      <c r="D161" s="41" t="n"/>
      <c r="E161" s="42" t="n"/>
      <c r="F161" s="41" t="n"/>
      <c r="G161" s="41" t="n"/>
      <c r="H161" s="43" t="n"/>
      <c r="I161" s="41" t="n"/>
      <c r="J161" s="41" t="n"/>
      <c r="K161" s="41" t="n"/>
      <c r="L161" s="44" t="n"/>
      <c r="M161" s="45" t="n"/>
      <c r="N161" s="43" t="n"/>
      <c r="O161" s="46" t="n"/>
    </row>
    <row r="162" ht="15.75" customHeight="1" s="25">
      <c r="A162" s="34">
        <f>IF(G162="","","Q-"&amp;TEXT(ROW()-4,"000"))</f>
        <v/>
      </c>
      <c r="B162" s="41" t="n"/>
      <c r="C162" s="41" t="n"/>
      <c r="D162" s="41" t="n"/>
      <c r="E162" s="42" t="n"/>
      <c r="F162" s="41" t="n"/>
      <c r="G162" s="41" t="n"/>
      <c r="H162" s="43" t="n"/>
      <c r="I162" s="41" t="n"/>
      <c r="J162" s="41" t="n"/>
      <c r="K162" s="41" t="n"/>
      <c r="L162" s="44" t="n"/>
      <c r="M162" s="45" t="n"/>
      <c r="N162" s="43" t="n"/>
      <c r="O162" s="46" t="n"/>
    </row>
    <row r="163" ht="15.75" customHeight="1" s="25">
      <c r="A163" s="34">
        <f>IF(G163="","","Q-"&amp;TEXT(ROW()-4,"000"))</f>
        <v/>
      </c>
      <c r="B163" s="41" t="n"/>
      <c r="C163" s="41" t="n"/>
      <c r="D163" s="41" t="n"/>
      <c r="E163" s="42" t="n"/>
      <c r="F163" s="41" t="n"/>
      <c r="G163" s="41" t="n"/>
      <c r="H163" s="43" t="n"/>
      <c r="I163" s="41" t="n"/>
      <c r="J163" s="41" t="n"/>
      <c r="K163" s="41" t="n"/>
      <c r="L163" s="44" t="n"/>
      <c r="M163" s="45" t="n"/>
      <c r="N163" s="43" t="n"/>
      <c r="O163" s="46" t="n"/>
    </row>
    <row r="164" ht="15.75" customHeight="1" s="25">
      <c r="A164" s="34">
        <f>IF(G164="","","Q-"&amp;TEXT(ROW()-4,"000"))</f>
        <v/>
      </c>
      <c r="B164" s="41" t="n"/>
      <c r="C164" s="41" t="n"/>
      <c r="D164" s="41" t="n"/>
      <c r="E164" s="42" t="n"/>
      <c r="F164" s="41" t="n"/>
      <c r="G164" s="41" t="n"/>
      <c r="H164" s="43" t="n"/>
      <c r="I164" s="41" t="n"/>
      <c r="J164" s="41" t="n"/>
      <c r="K164" s="41" t="n"/>
      <c r="L164" s="44" t="n"/>
      <c r="M164" s="45" t="n"/>
      <c r="N164" s="43" t="n"/>
      <c r="O164" s="46" t="n"/>
    </row>
    <row r="165" ht="15.75" customHeight="1" s="25">
      <c r="A165" s="34">
        <f>IF(G165="","","Q-"&amp;TEXT(ROW()-4,"000"))</f>
        <v/>
      </c>
      <c r="B165" s="41" t="n"/>
      <c r="C165" s="41" t="n"/>
      <c r="D165" s="41" t="n"/>
      <c r="E165" s="42" t="n"/>
      <c r="F165" s="41" t="n"/>
      <c r="G165" s="41" t="n"/>
      <c r="H165" s="43" t="n"/>
      <c r="I165" s="41" t="n"/>
      <c r="J165" s="41" t="n"/>
      <c r="K165" s="41" t="n"/>
      <c r="L165" s="44" t="n"/>
      <c r="M165" s="45" t="n"/>
      <c r="N165" s="43" t="n"/>
      <c r="O165" s="46" t="n"/>
    </row>
    <row r="166" ht="15.75" customHeight="1" s="25">
      <c r="A166" s="34">
        <f>IF(G166="","","Q-"&amp;TEXT(ROW()-4,"000"))</f>
        <v/>
      </c>
      <c r="B166" s="41" t="n"/>
      <c r="C166" s="41" t="n"/>
      <c r="D166" s="41" t="n"/>
      <c r="E166" s="42" t="n"/>
      <c r="F166" s="41" t="n"/>
      <c r="G166" s="41" t="n"/>
      <c r="H166" s="43" t="n"/>
      <c r="I166" s="41" t="n"/>
      <c r="J166" s="41" t="n"/>
      <c r="K166" s="41" t="n"/>
      <c r="L166" s="44" t="n"/>
      <c r="M166" s="45" t="n"/>
      <c r="N166" s="43" t="n"/>
      <c r="O166" s="46" t="n"/>
    </row>
    <row r="167" ht="15.75" customHeight="1" s="25">
      <c r="A167" s="34">
        <f>IF(G167="","","Q-"&amp;TEXT(ROW()-4,"000"))</f>
        <v/>
      </c>
      <c r="B167" s="41" t="n"/>
      <c r="C167" s="41" t="n"/>
      <c r="D167" s="41" t="n"/>
      <c r="E167" s="42" t="n"/>
      <c r="F167" s="41" t="n"/>
      <c r="G167" s="41" t="n"/>
      <c r="H167" s="43" t="n"/>
      <c r="I167" s="41" t="n"/>
      <c r="J167" s="41" t="n"/>
      <c r="K167" s="41" t="n"/>
      <c r="L167" s="44" t="n"/>
      <c r="M167" s="45" t="n"/>
      <c r="N167" s="43" t="n"/>
      <c r="O167" s="46" t="n"/>
    </row>
    <row r="168" ht="15.75" customHeight="1" s="25">
      <c r="A168" s="34">
        <f>IF(G168="","","Q-"&amp;TEXT(ROW()-4,"000"))</f>
        <v/>
      </c>
      <c r="B168" s="41" t="n"/>
      <c r="C168" s="41" t="n"/>
      <c r="D168" s="41" t="n"/>
      <c r="E168" s="42" t="n"/>
      <c r="F168" s="41" t="n"/>
      <c r="G168" s="41" t="n"/>
      <c r="H168" s="43" t="n"/>
      <c r="I168" s="41" t="n"/>
      <c r="J168" s="41" t="n"/>
      <c r="K168" s="41" t="n"/>
      <c r="L168" s="44" t="n"/>
      <c r="M168" s="45" t="n"/>
      <c r="N168" s="43" t="n"/>
      <c r="O168" s="46" t="n"/>
    </row>
    <row r="169" ht="15.75" customHeight="1" s="25">
      <c r="A169" s="34">
        <f>IF(G169="","","Q-"&amp;TEXT(ROW()-4,"000"))</f>
        <v/>
      </c>
      <c r="B169" s="41" t="n"/>
      <c r="C169" s="41" t="n"/>
      <c r="D169" s="41" t="n"/>
      <c r="E169" s="42" t="n"/>
      <c r="F169" s="41" t="n"/>
      <c r="G169" s="41" t="n"/>
      <c r="H169" s="43" t="n"/>
      <c r="I169" s="41" t="n"/>
      <c r="J169" s="41" t="n"/>
      <c r="K169" s="41" t="n"/>
      <c r="L169" s="44" t="n"/>
      <c r="M169" s="45" t="n"/>
      <c r="N169" s="43" t="n"/>
      <c r="O169" s="46" t="n"/>
    </row>
    <row r="170" ht="15.75" customHeight="1" s="25">
      <c r="A170" s="34">
        <f>IF(G170="","","Q-"&amp;TEXT(ROW()-4,"000"))</f>
        <v/>
      </c>
      <c r="B170" s="41" t="n"/>
      <c r="C170" s="41" t="n"/>
      <c r="D170" s="41" t="n"/>
      <c r="E170" s="42" t="n"/>
      <c r="F170" s="41" t="n"/>
      <c r="G170" s="41" t="n"/>
      <c r="H170" s="43" t="n"/>
      <c r="I170" s="41" t="n"/>
      <c r="J170" s="41" t="n"/>
      <c r="K170" s="41" t="n"/>
      <c r="L170" s="44" t="n"/>
      <c r="M170" s="45" t="n"/>
      <c r="N170" s="43" t="n"/>
      <c r="O170" s="46" t="n"/>
    </row>
    <row r="171" ht="15.75" customHeight="1" s="25">
      <c r="A171" s="34">
        <f>IF(G171="","","Q-"&amp;TEXT(ROW()-4,"000"))</f>
        <v/>
      </c>
      <c r="B171" s="41" t="n"/>
      <c r="C171" s="41" t="n"/>
      <c r="D171" s="41" t="n"/>
      <c r="E171" s="42" t="n"/>
      <c r="F171" s="41" t="n"/>
      <c r="G171" s="41" t="n"/>
      <c r="H171" s="43" t="n"/>
      <c r="I171" s="41" t="n"/>
      <c r="J171" s="41" t="n"/>
      <c r="K171" s="41" t="n"/>
      <c r="L171" s="44" t="n"/>
      <c r="M171" s="45" t="n"/>
      <c r="N171" s="43" t="n"/>
      <c r="O171" s="46" t="n"/>
    </row>
    <row r="172" ht="15.75" customHeight="1" s="25">
      <c r="A172" s="34">
        <f>IF(G172="","","Q-"&amp;TEXT(ROW()-4,"000"))</f>
        <v/>
      </c>
      <c r="B172" s="41" t="n"/>
      <c r="C172" s="41" t="n"/>
      <c r="D172" s="41" t="n"/>
      <c r="E172" s="42" t="n"/>
      <c r="F172" s="41" t="n"/>
      <c r="G172" s="41" t="n"/>
      <c r="H172" s="43" t="n"/>
      <c r="I172" s="41" t="n"/>
      <c r="J172" s="41" t="n"/>
      <c r="K172" s="41" t="n"/>
      <c r="L172" s="44" t="n"/>
      <c r="M172" s="45" t="n"/>
      <c r="N172" s="43" t="n"/>
      <c r="O172" s="46" t="n"/>
    </row>
    <row r="173" ht="15.75" customHeight="1" s="25">
      <c r="A173" s="34">
        <f>IF(G173="","","Q-"&amp;TEXT(ROW()-4,"000"))</f>
        <v/>
      </c>
      <c r="B173" s="41" t="n"/>
      <c r="C173" s="41" t="n"/>
      <c r="D173" s="41" t="n"/>
      <c r="E173" s="42" t="n"/>
      <c r="F173" s="41" t="n"/>
      <c r="G173" s="41" t="n"/>
      <c r="H173" s="43" t="n"/>
      <c r="I173" s="41" t="n"/>
      <c r="J173" s="41" t="n"/>
      <c r="K173" s="41" t="n"/>
      <c r="L173" s="44" t="n"/>
      <c r="M173" s="45" t="n"/>
      <c r="N173" s="43" t="n"/>
      <c r="O173" s="46" t="n"/>
    </row>
    <row r="174" ht="15.75" customHeight="1" s="25">
      <c r="A174" s="34">
        <f>IF(G174="","","Q-"&amp;TEXT(ROW()-4,"000"))</f>
        <v/>
      </c>
      <c r="B174" s="41" t="n"/>
      <c r="C174" s="41" t="n"/>
      <c r="D174" s="41" t="n"/>
      <c r="E174" s="42" t="n"/>
      <c r="F174" s="41" t="n"/>
      <c r="G174" s="41" t="n"/>
      <c r="H174" s="43" t="n"/>
      <c r="I174" s="41" t="n"/>
      <c r="J174" s="41" t="n"/>
      <c r="K174" s="41" t="n"/>
      <c r="L174" s="44" t="n"/>
      <c r="M174" s="45" t="n"/>
      <c r="N174" s="43" t="n"/>
      <c r="O174" s="46" t="n"/>
    </row>
    <row r="175" ht="15.75" customHeight="1" s="25">
      <c r="A175" s="34">
        <f>IF(G175="","","Q-"&amp;TEXT(ROW()-4,"000"))</f>
        <v/>
      </c>
      <c r="B175" s="41" t="n"/>
      <c r="C175" s="41" t="n"/>
      <c r="D175" s="41" t="n"/>
      <c r="E175" s="42" t="n"/>
      <c r="F175" s="41" t="n"/>
      <c r="G175" s="41" t="n"/>
      <c r="H175" s="43" t="n"/>
      <c r="I175" s="41" t="n"/>
      <c r="J175" s="41" t="n"/>
      <c r="K175" s="41" t="n"/>
      <c r="L175" s="44" t="n"/>
      <c r="M175" s="45" t="n"/>
      <c r="N175" s="43" t="n"/>
      <c r="O175" s="46" t="n"/>
    </row>
    <row r="176" ht="15.75" customHeight="1" s="25">
      <c r="A176" s="34">
        <f>IF(G176="","","Q-"&amp;TEXT(ROW()-4,"000"))</f>
        <v/>
      </c>
      <c r="B176" s="41" t="n"/>
      <c r="C176" s="41" t="n"/>
      <c r="D176" s="41" t="n"/>
      <c r="E176" s="42" t="n"/>
      <c r="F176" s="41" t="n"/>
      <c r="G176" s="41" t="n"/>
      <c r="H176" s="43" t="n"/>
      <c r="I176" s="41" t="n"/>
      <c r="J176" s="41" t="n"/>
      <c r="K176" s="41" t="n"/>
      <c r="L176" s="44" t="n"/>
      <c r="M176" s="45" t="n"/>
      <c r="N176" s="43" t="n"/>
      <c r="O176" s="46" t="n"/>
    </row>
    <row r="177" ht="15.75" customHeight="1" s="25">
      <c r="A177" s="34">
        <f>IF(G177="","","Q-"&amp;TEXT(ROW()-4,"000"))</f>
        <v/>
      </c>
      <c r="B177" s="41" t="n"/>
      <c r="C177" s="41" t="n"/>
      <c r="D177" s="41" t="n"/>
      <c r="E177" s="42" t="n"/>
      <c r="F177" s="41" t="n"/>
      <c r="G177" s="41" t="n"/>
      <c r="H177" s="43" t="n"/>
      <c r="I177" s="41" t="n"/>
      <c r="J177" s="41" t="n"/>
      <c r="K177" s="41" t="n"/>
      <c r="L177" s="44" t="n"/>
      <c r="M177" s="45" t="n"/>
      <c r="N177" s="43" t="n"/>
      <c r="O177" s="46" t="n"/>
    </row>
    <row r="178" ht="15.75" customHeight="1" s="25">
      <c r="A178" s="34">
        <f>IF(G178="","","Q-"&amp;TEXT(ROW()-4,"000"))</f>
        <v/>
      </c>
      <c r="B178" s="41" t="n"/>
      <c r="C178" s="41" t="n"/>
      <c r="D178" s="41" t="n"/>
      <c r="E178" s="42" t="n"/>
      <c r="F178" s="41" t="n"/>
      <c r="G178" s="41" t="n"/>
      <c r="H178" s="43" t="n"/>
      <c r="I178" s="41" t="n"/>
      <c r="J178" s="41" t="n"/>
      <c r="K178" s="41" t="n"/>
      <c r="L178" s="44" t="n"/>
      <c r="M178" s="45" t="n"/>
      <c r="N178" s="43" t="n"/>
      <c r="O178" s="46" t="n"/>
    </row>
    <row r="179" ht="15.75" customHeight="1" s="25">
      <c r="A179" s="34">
        <f>IF(G179="","","Q-"&amp;TEXT(ROW()-4,"000"))</f>
        <v/>
      </c>
      <c r="B179" s="41" t="n"/>
      <c r="C179" s="41" t="n"/>
      <c r="D179" s="41" t="n"/>
      <c r="E179" s="42" t="n"/>
      <c r="F179" s="41" t="n"/>
      <c r="G179" s="41" t="n"/>
      <c r="H179" s="43" t="n"/>
      <c r="I179" s="41" t="n"/>
      <c r="J179" s="41" t="n"/>
      <c r="K179" s="41" t="n"/>
      <c r="L179" s="44" t="n"/>
      <c r="M179" s="45" t="n"/>
      <c r="N179" s="43" t="n"/>
      <c r="O179" s="46" t="n"/>
    </row>
    <row r="180" ht="15.75" customHeight="1" s="25">
      <c r="A180" s="34">
        <f>IF(G180="","","Q-"&amp;TEXT(ROW()-4,"000"))</f>
        <v/>
      </c>
      <c r="B180" s="41" t="n"/>
      <c r="C180" s="41" t="n"/>
      <c r="D180" s="41" t="n"/>
      <c r="E180" s="42" t="n"/>
      <c r="F180" s="41" t="n"/>
      <c r="G180" s="41" t="n"/>
      <c r="H180" s="43" t="n"/>
      <c r="I180" s="41" t="n"/>
      <c r="J180" s="41" t="n"/>
      <c r="K180" s="41" t="n"/>
      <c r="L180" s="44" t="n"/>
      <c r="M180" s="45" t="n"/>
      <c r="N180" s="43" t="n"/>
      <c r="O180" s="46" t="n"/>
    </row>
    <row r="181" ht="15.75" customHeight="1" s="25">
      <c r="A181" s="34">
        <f>IF(G181="","","Q-"&amp;TEXT(ROW()-4,"000"))</f>
        <v/>
      </c>
      <c r="B181" s="41" t="n"/>
      <c r="C181" s="41" t="n"/>
      <c r="D181" s="41" t="n"/>
      <c r="E181" s="42" t="n"/>
      <c r="F181" s="41" t="n"/>
      <c r="G181" s="41" t="n"/>
      <c r="H181" s="43" t="n"/>
      <c r="I181" s="41" t="n"/>
      <c r="J181" s="41" t="n"/>
      <c r="K181" s="41" t="n"/>
      <c r="L181" s="44" t="n"/>
      <c r="M181" s="45" t="n"/>
      <c r="N181" s="43" t="n"/>
      <c r="O181" s="46" t="n"/>
    </row>
    <row r="182" ht="15.75" customHeight="1" s="25">
      <c r="A182" s="34">
        <f>IF(G182="","","Q-"&amp;TEXT(ROW()-4,"000"))</f>
        <v/>
      </c>
      <c r="B182" s="41" t="n"/>
      <c r="C182" s="41" t="n"/>
      <c r="D182" s="41" t="n"/>
      <c r="E182" s="42" t="n"/>
      <c r="F182" s="41" t="n"/>
      <c r="G182" s="41" t="n"/>
      <c r="H182" s="43" t="n"/>
      <c r="I182" s="41" t="n"/>
      <c r="J182" s="41" t="n"/>
      <c r="K182" s="41" t="n"/>
      <c r="L182" s="44" t="n"/>
      <c r="M182" s="45" t="n"/>
      <c r="N182" s="43" t="n"/>
      <c r="O182" s="46" t="n"/>
    </row>
    <row r="183" ht="15.75" customHeight="1" s="25">
      <c r="A183" s="34">
        <f>IF(G183="","","Q-"&amp;TEXT(ROW()-4,"000"))</f>
        <v/>
      </c>
      <c r="B183" s="41" t="n"/>
      <c r="C183" s="41" t="n"/>
      <c r="D183" s="41" t="n"/>
      <c r="E183" s="42" t="n"/>
      <c r="F183" s="41" t="n"/>
      <c r="G183" s="41" t="n"/>
      <c r="H183" s="43" t="n"/>
      <c r="I183" s="41" t="n"/>
      <c r="J183" s="41" t="n"/>
      <c r="K183" s="41" t="n"/>
      <c r="L183" s="44" t="n"/>
      <c r="M183" s="45" t="n"/>
      <c r="N183" s="43" t="n"/>
      <c r="O183" s="46" t="n"/>
    </row>
    <row r="184" ht="15.75" customHeight="1" s="25">
      <c r="A184" s="34">
        <f>IF(G184="","","Q-"&amp;TEXT(ROW()-4,"000"))</f>
        <v/>
      </c>
      <c r="B184" s="41" t="n"/>
      <c r="C184" s="41" t="n"/>
      <c r="D184" s="41" t="n"/>
      <c r="E184" s="42" t="n"/>
      <c r="F184" s="41" t="n"/>
      <c r="G184" s="41" t="n"/>
      <c r="H184" s="43" t="n"/>
      <c r="I184" s="41" t="n"/>
      <c r="J184" s="41" t="n"/>
      <c r="K184" s="41" t="n"/>
      <c r="L184" s="44" t="n"/>
      <c r="M184" s="45" t="n"/>
      <c r="N184" s="43" t="n"/>
      <c r="O184" s="46" t="n"/>
    </row>
    <row r="185" ht="15.75" customHeight="1" s="25">
      <c r="A185" s="34">
        <f>IF(G185="","","Q-"&amp;TEXT(ROW()-4,"000"))</f>
        <v/>
      </c>
      <c r="B185" s="41" t="n"/>
      <c r="C185" s="41" t="n"/>
      <c r="D185" s="41" t="n"/>
      <c r="E185" s="42" t="n"/>
      <c r="F185" s="41" t="n"/>
      <c r="G185" s="41" t="n"/>
      <c r="H185" s="43" t="n"/>
      <c r="I185" s="41" t="n"/>
      <c r="J185" s="41" t="n"/>
      <c r="K185" s="41" t="n"/>
      <c r="L185" s="44" t="n"/>
      <c r="M185" s="45" t="n"/>
      <c r="N185" s="43" t="n"/>
      <c r="O185" s="46" t="n"/>
    </row>
    <row r="186" ht="15.75" customHeight="1" s="25">
      <c r="A186" s="34">
        <f>IF(G186="","","Q-"&amp;TEXT(ROW()-4,"000"))</f>
        <v/>
      </c>
      <c r="B186" s="41" t="n"/>
      <c r="C186" s="41" t="n"/>
      <c r="D186" s="41" t="n"/>
      <c r="E186" s="42" t="n"/>
      <c r="F186" s="41" t="n"/>
      <c r="G186" s="41" t="n"/>
      <c r="H186" s="43" t="n"/>
      <c r="I186" s="41" t="n"/>
      <c r="J186" s="41" t="n"/>
      <c r="K186" s="41" t="n"/>
      <c r="L186" s="44" t="n"/>
      <c r="M186" s="45" t="n"/>
      <c r="N186" s="43" t="n"/>
      <c r="O186" s="46" t="n"/>
    </row>
    <row r="187" ht="15.75" customHeight="1" s="25">
      <c r="A187" s="34">
        <f>IF(G187="","","Q-"&amp;TEXT(ROW()-4,"000"))</f>
        <v/>
      </c>
      <c r="B187" s="41" t="n"/>
      <c r="C187" s="41" t="n"/>
      <c r="D187" s="41" t="n"/>
      <c r="E187" s="42" t="n"/>
      <c r="F187" s="41" t="n"/>
      <c r="G187" s="41" t="n"/>
      <c r="H187" s="43" t="n"/>
      <c r="I187" s="41" t="n"/>
      <c r="J187" s="41" t="n"/>
      <c r="K187" s="41" t="n"/>
      <c r="L187" s="44" t="n"/>
      <c r="M187" s="45" t="n"/>
      <c r="N187" s="43" t="n"/>
      <c r="O187" s="46" t="n"/>
    </row>
    <row r="188" ht="15.75" customHeight="1" s="25">
      <c r="A188" s="34">
        <f>IF(G188="","","Q-"&amp;TEXT(ROW()-4,"000"))</f>
        <v/>
      </c>
      <c r="B188" s="41" t="n"/>
      <c r="C188" s="41" t="n"/>
      <c r="D188" s="41" t="n"/>
      <c r="E188" s="42" t="n"/>
      <c r="F188" s="41" t="n"/>
      <c r="G188" s="41" t="n"/>
      <c r="H188" s="43" t="n"/>
      <c r="I188" s="41" t="n"/>
      <c r="J188" s="41" t="n"/>
      <c r="K188" s="41" t="n"/>
      <c r="L188" s="44" t="n"/>
      <c r="M188" s="45" t="n"/>
      <c r="N188" s="43" t="n"/>
      <c r="O188" s="46" t="n"/>
    </row>
    <row r="189" ht="15.75" customHeight="1" s="25">
      <c r="A189" s="34">
        <f>IF(G189="","","Q-"&amp;TEXT(ROW()-4,"000"))</f>
        <v/>
      </c>
      <c r="B189" s="41" t="n"/>
      <c r="C189" s="41" t="n"/>
      <c r="D189" s="41" t="n"/>
      <c r="E189" s="42" t="n"/>
      <c r="F189" s="41" t="n"/>
      <c r="G189" s="41" t="n"/>
      <c r="H189" s="43" t="n"/>
      <c r="I189" s="41" t="n"/>
      <c r="J189" s="41" t="n"/>
      <c r="K189" s="41" t="n"/>
      <c r="L189" s="44" t="n"/>
      <c r="M189" s="45" t="n"/>
      <c r="N189" s="43" t="n"/>
      <c r="O189" s="46" t="n"/>
    </row>
    <row r="190" ht="15.75" customHeight="1" s="25">
      <c r="A190" s="34">
        <f>IF(G190="","","Q-"&amp;TEXT(ROW()-4,"000"))</f>
        <v/>
      </c>
      <c r="B190" s="41" t="n"/>
      <c r="C190" s="41" t="n"/>
      <c r="D190" s="41" t="n"/>
      <c r="E190" s="42" t="n"/>
      <c r="F190" s="41" t="n"/>
      <c r="G190" s="41" t="n"/>
      <c r="H190" s="43" t="n"/>
      <c r="I190" s="41" t="n"/>
      <c r="J190" s="41" t="n"/>
      <c r="K190" s="41" t="n"/>
      <c r="L190" s="44" t="n"/>
      <c r="M190" s="45" t="n"/>
      <c r="N190" s="43" t="n"/>
      <c r="O190" s="46" t="n"/>
    </row>
    <row r="191" ht="15.75" customHeight="1" s="25">
      <c r="A191" s="34">
        <f>IF(G191="","","Q-"&amp;TEXT(ROW()-4,"000"))</f>
        <v/>
      </c>
      <c r="B191" s="41" t="n"/>
      <c r="C191" s="41" t="n"/>
      <c r="D191" s="41" t="n"/>
      <c r="E191" s="42" t="n"/>
      <c r="F191" s="41" t="n"/>
      <c r="G191" s="41" t="n"/>
      <c r="H191" s="43" t="n"/>
      <c r="I191" s="41" t="n"/>
      <c r="J191" s="41" t="n"/>
      <c r="K191" s="41" t="n"/>
      <c r="L191" s="44" t="n"/>
      <c r="M191" s="45" t="n"/>
      <c r="N191" s="43" t="n"/>
      <c r="O191" s="46" t="n"/>
    </row>
    <row r="192" ht="15.75" customHeight="1" s="25">
      <c r="A192" s="34">
        <f>IF(G192="","","Q-"&amp;TEXT(ROW()-4,"000"))</f>
        <v/>
      </c>
      <c r="B192" s="41" t="n"/>
      <c r="C192" s="41" t="n"/>
      <c r="D192" s="41" t="n"/>
      <c r="E192" s="42" t="n"/>
      <c r="F192" s="41" t="n"/>
      <c r="G192" s="41" t="n"/>
      <c r="H192" s="43" t="n"/>
      <c r="I192" s="41" t="n"/>
      <c r="J192" s="41" t="n"/>
      <c r="K192" s="41" t="n"/>
      <c r="L192" s="44" t="n"/>
      <c r="M192" s="45" t="n"/>
      <c r="N192" s="43" t="n"/>
      <c r="O192" s="46" t="n"/>
    </row>
    <row r="193" ht="15.75" customHeight="1" s="25">
      <c r="A193" s="34">
        <f>IF(G193="","","Q-"&amp;TEXT(ROW()-4,"000"))</f>
        <v/>
      </c>
      <c r="B193" s="41" t="n"/>
      <c r="C193" s="41" t="n"/>
      <c r="D193" s="41" t="n"/>
      <c r="E193" s="42" t="n"/>
      <c r="F193" s="41" t="n"/>
      <c r="G193" s="41" t="n"/>
      <c r="H193" s="43" t="n"/>
      <c r="I193" s="41" t="n"/>
      <c r="J193" s="41" t="n"/>
      <c r="K193" s="41" t="n"/>
      <c r="L193" s="44" t="n"/>
      <c r="M193" s="45" t="n"/>
      <c r="N193" s="43" t="n"/>
      <c r="O193" s="46" t="n"/>
    </row>
    <row r="194" ht="15.75" customHeight="1" s="25">
      <c r="A194" s="34">
        <f>IF(G194="","","Q-"&amp;TEXT(ROW()-4,"000"))</f>
        <v/>
      </c>
      <c r="B194" s="41" t="n"/>
      <c r="C194" s="41" t="n"/>
      <c r="D194" s="41" t="n"/>
      <c r="E194" s="42" t="n"/>
      <c r="F194" s="41" t="n"/>
      <c r="G194" s="41" t="n"/>
      <c r="H194" s="43" t="n"/>
      <c r="I194" s="41" t="n"/>
      <c r="J194" s="41" t="n"/>
      <c r="K194" s="41" t="n"/>
      <c r="L194" s="44" t="n"/>
      <c r="M194" s="45" t="n"/>
      <c r="N194" s="43" t="n"/>
      <c r="O194" s="46" t="n"/>
    </row>
    <row r="195" ht="15.75" customHeight="1" s="25">
      <c r="A195" s="34">
        <f>IF(G195="","","Q-"&amp;TEXT(ROW()-4,"000"))</f>
        <v/>
      </c>
      <c r="B195" s="41" t="n"/>
      <c r="C195" s="41" t="n"/>
      <c r="D195" s="41" t="n"/>
      <c r="E195" s="42" t="n"/>
      <c r="F195" s="41" t="n"/>
      <c r="G195" s="41" t="n"/>
      <c r="H195" s="43" t="n"/>
      <c r="I195" s="41" t="n"/>
      <c r="J195" s="41" t="n"/>
      <c r="K195" s="41" t="n"/>
      <c r="L195" s="44" t="n"/>
      <c r="M195" s="45" t="n"/>
      <c r="N195" s="43" t="n"/>
      <c r="O195" s="46" t="n"/>
    </row>
    <row r="196" ht="15.75" customHeight="1" s="25">
      <c r="A196" s="34">
        <f>IF(G196="","","Q-"&amp;TEXT(ROW()-4,"000"))</f>
        <v/>
      </c>
      <c r="B196" s="41" t="n"/>
      <c r="C196" s="41" t="n"/>
      <c r="D196" s="41" t="n"/>
      <c r="E196" s="42" t="n"/>
      <c r="F196" s="41" t="n"/>
      <c r="G196" s="41" t="n"/>
      <c r="H196" s="43" t="n"/>
      <c r="I196" s="41" t="n"/>
      <c r="J196" s="41" t="n"/>
      <c r="K196" s="41" t="n"/>
      <c r="L196" s="44" t="n"/>
      <c r="M196" s="45" t="n"/>
      <c r="N196" s="43" t="n"/>
      <c r="O196" s="46" t="n"/>
    </row>
    <row r="197" ht="15.75" customHeight="1" s="25">
      <c r="A197" s="34">
        <f>IF(G197="","","Q-"&amp;TEXT(ROW()-4,"000"))</f>
        <v/>
      </c>
      <c r="B197" s="41" t="n"/>
      <c r="C197" s="41" t="n"/>
      <c r="D197" s="41" t="n"/>
      <c r="E197" s="42" t="n"/>
      <c r="F197" s="41" t="n"/>
      <c r="G197" s="41" t="n"/>
      <c r="H197" s="43" t="n"/>
      <c r="I197" s="41" t="n"/>
      <c r="J197" s="41" t="n"/>
      <c r="K197" s="41" t="n"/>
      <c r="L197" s="44" t="n"/>
      <c r="M197" s="45" t="n"/>
      <c r="N197" s="43" t="n"/>
      <c r="O197" s="46" t="n"/>
    </row>
    <row r="198" ht="15.75" customHeight="1" s="25">
      <c r="A198" s="34">
        <f>IF(G198="","","Q-"&amp;TEXT(ROW()-4,"000"))</f>
        <v/>
      </c>
      <c r="B198" s="41" t="n"/>
      <c r="C198" s="41" t="n"/>
      <c r="D198" s="41" t="n"/>
      <c r="E198" s="42" t="n"/>
      <c r="F198" s="41" t="n"/>
      <c r="G198" s="41" t="n"/>
      <c r="H198" s="43" t="n"/>
      <c r="I198" s="41" t="n"/>
      <c r="J198" s="41" t="n"/>
      <c r="K198" s="41" t="n"/>
      <c r="L198" s="44" t="n"/>
      <c r="M198" s="45" t="n"/>
      <c r="N198" s="43" t="n"/>
      <c r="O198" s="46" t="n"/>
    </row>
    <row r="199" ht="15.75" customHeight="1" s="25">
      <c r="A199" s="34">
        <f>IF(G199="","","Q-"&amp;TEXT(ROW()-4,"000"))</f>
        <v/>
      </c>
      <c r="B199" s="41" t="n"/>
      <c r="C199" s="41" t="n"/>
      <c r="D199" s="41" t="n"/>
      <c r="E199" s="42" t="n"/>
      <c r="F199" s="41" t="n"/>
      <c r="G199" s="41" t="n"/>
      <c r="H199" s="43" t="n"/>
      <c r="I199" s="41" t="n"/>
      <c r="J199" s="41" t="n"/>
      <c r="K199" s="41" t="n"/>
      <c r="L199" s="44" t="n"/>
      <c r="M199" s="45" t="n"/>
      <c r="N199" s="43" t="n"/>
      <c r="O199" s="46" t="n"/>
    </row>
    <row r="200" ht="15.75" customHeight="1" s="25">
      <c r="A200" s="34">
        <f>IF(G200="","","Q-"&amp;TEXT(ROW()-4,"000"))</f>
        <v/>
      </c>
      <c r="B200" s="41" t="n"/>
      <c r="C200" s="41" t="n"/>
      <c r="D200" s="41" t="n"/>
      <c r="E200" s="42" t="n"/>
      <c r="F200" s="41" t="n"/>
      <c r="G200" s="41" t="n"/>
      <c r="H200" s="43" t="n"/>
      <c r="I200" s="41" t="n"/>
      <c r="J200" s="41" t="n"/>
      <c r="K200" s="41" t="n"/>
      <c r="L200" s="44" t="n"/>
      <c r="M200" s="45" t="n"/>
      <c r="N200" s="43" t="n"/>
      <c r="O200" s="46" t="n"/>
    </row>
    <row r="201" ht="15.75" customHeight="1" s="25">
      <c r="A201" s="34">
        <f>IF(G201="","","Q-"&amp;TEXT(ROW()-4,"000"))</f>
        <v/>
      </c>
      <c r="B201" s="41" t="n"/>
      <c r="C201" s="41" t="n"/>
      <c r="D201" s="41" t="n"/>
      <c r="E201" s="42" t="n"/>
      <c r="F201" s="41" t="n"/>
      <c r="G201" s="41" t="n"/>
      <c r="H201" s="43" t="n"/>
      <c r="I201" s="41" t="n"/>
      <c r="J201" s="41" t="n"/>
      <c r="K201" s="41" t="n"/>
      <c r="L201" s="44" t="n"/>
      <c r="M201" s="45" t="n"/>
      <c r="N201" s="43" t="n"/>
      <c r="O201" s="46" t="n"/>
    </row>
    <row r="202" ht="15.75" customHeight="1" s="25">
      <c r="A202" s="34">
        <f>IF(G202="","","Q-"&amp;TEXT(ROW()-4,"000"))</f>
        <v/>
      </c>
      <c r="B202" s="41" t="n"/>
      <c r="C202" s="41" t="n"/>
      <c r="D202" s="41" t="n"/>
      <c r="E202" s="42" t="n"/>
      <c r="F202" s="41" t="n"/>
      <c r="G202" s="41" t="n"/>
      <c r="H202" s="43" t="n"/>
      <c r="I202" s="41" t="n"/>
      <c r="J202" s="41" t="n"/>
      <c r="K202" s="41" t="n"/>
      <c r="L202" s="44" t="n"/>
      <c r="M202" s="45" t="n"/>
      <c r="N202" s="43" t="n"/>
      <c r="O202" s="46" t="n"/>
    </row>
    <row r="203" ht="15.75" customHeight="1" s="25">
      <c r="A203" s="34">
        <f>IF(G203="","","Q-"&amp;TEXT(ROW()-4,"000"))</f>
        <v/>
      </c>
      <c r="B203" s="41" t="n"/>
      <c r="C203" s="41" t="n"/>
      <c r="D203" s="41" t="n"/>
      <c r="E203" s="42" t="n"/>
      <c r="F203" s="41" t="n"/>
      <c r="G203" s="41" t="n"/>
      <c r="H203" s="43" t="n"/>
      <c r="I203" s="41" t="n"/>
      <c r="J203" s="41" t="n"/>
      <c r="K203" s="41" t="n"/>
      <c r="L203" s="44" t="n"/>
      <c r="M203" s="45" t="n"/>
      <c r="N203" s="43" t="n"/>
      <c r="O203" s="46" t="n"/>
    </row>
  </sheetData>
  <mergeCells count="2">
    <mergeCell ref="H3:J3"/>
    <mergeCell ref="L3:M3"/>
  </mergeCells>
  <conditionalFormatting sqref="J5:J203">
    <cfRule type="expression" rank="0" priority="2" equalAverage="0" aboveAverage="0" dxfId="0" text="" percent="0" bottom="0">
      <formula>$J5="High"</formula>
    </cfRule>
  </conditionalFormatting>
  <conditionalFormatting sqref="L5:L203">
    <cfRule type="expression" rank="0" priority="3" equalAverage="0" aboveAverage="0" dxfId="1" text="" percent="0" bottom="0">
      <formula>$L5="Answered"</formula>
    </cfRule>
    <cfRule type="expression" rank="0" priority="4" equalAverage="0" aboveAverage="0" dxfId="1" text="" percent="0" bottom="0">
      <formula>$L5="Closed"</formula>
    </cfRule>
    <cfRule type="expression" rank="0" priority="5" equalAverage="0" aboveAverage="0" dxfId="3" text="" percent="0" bottom="0">
      <formula>$L5="Clarification needed"</formula>
    </cfRule>
    <cfRule type="expression" rank="0" priority="6" equalAverage="0" aboveAverage="0" dxfId="4" text="" percent="0" bottom="0">
      <formula>$L5="Sent to business"</formula>
    </cfRule>
    <cfRule type="expression" rank="0" priority="7" equalAverage="0" aboveAverage="0" dxfId="5" text="" percent="0" bottom="0">
      <formula>$L5="Under L&amp;D review"</formula>
    </cfRule>
  </conditionalFormatting>
  <dataValidations count="1">
    <dataValidation sqref="E5:E203 M5:M203 O5:O203" showDropDown="0" showInputMessage="0" showErrorMessage="0" allowBlank="1" type="date" errorStyle="stop" operator="greaterThan">
      <formula1>DATE(2026,1,1)</formula1>
      <formula2>0</formula2>
    </dataValidation>
  </dataValidations>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2.xml><?xml version="1.0" encoding="utf-8"?>
<worksheet xmlns="http://schemas.openxmlformats.org/spreadsheetml/2006/main">
  <sheetPr>
    <outlinePr summaryBelow="1" summaryRight="1"/>
    <pageSetUpPr/>
  </sheetPr>
  <dimension ref="A1:G22"/>
  <sheetViews>
    <sheetView workbookViewId="0">
      <pane ySplit="4" topLeftCell="A5" activePane="bottomLeft" state="frozen"/>
      <selection pane="bottomLeft" activeCell="A1" sqref="A1"/>
    </sheetView>
  </sheetViews>
  <sheetFormatPr baseColWidth="8" defaultRowHeight="15"/>
  <cols>
    <col width="7" customWidth="1" style="25" min="1" max="1"/>
    <col width="16" customWidth="1" style="25" min="2" max="2"/>
    <col width="26" customWidth="1" style="25" min="3" max="3"/>
    <col width="48" customWidth="1" style="25" min="4" max="4"/>
    <col width="36" customWidth="1" style="25" min="5" max="5"/>
    <col width="52" customWidth="1" style="25" min="6" max="6"/>
    <col width="11" customWidth="1" style="25" min="7" max="7"/>
  </cols>
  <sheetData>
    <row r="1">
      <c r="A1" s="50" t="inlineStr">
        <is>
          <t>Discovery gap review: THE SOLUTIONAUTS (2026-10-30)</t>
        </is>
      </c>
    </row>
    <row r="2" ht="32" customHeight="1" s="25">
      <c r="A2" s="51" t="inlineStr">
        <is>
          <t>Gaps found in this log and the requirement areas it did not cover. Business answers on Sheet1 are unchanged; new questions are Q-037 to Q-050. Until they are answered, the team works from the stated assumption.</t>
        </is>
      </c>
    </row>
    <row r="4">
      <c r="A4" s="52" t="inlineStr">
        <is>
          <t>#</t>
        </is>
      </c>
      <c r="B4" s="52" t="inlineStr">
        <is>
          <t>Gap type</t>
        </is>
      </c>
      <c r="C4" s="52" t="inlineStr">
        <is>
          <t>Where</t>
        </is>
      </c>
      <c r="D4" s="52" t="inlineStr">
        <is>
          <t>Gap</t>
        </is>
      </c>
      <c r="E4" s="52" t="inlineStr">
        <is>
          <t>Impact</t>
        </is>
      </c>
      <c r="F4" s="52" t="inlineStr">
        <is>
          <t>Team action / working assumption</t>
        </is>
      </c>
      <c r="G4" s="52" t="inlineStr">
        <is>
          <t>Follow-up</t>
        </is>
      </c>
    </row>
    <row r="5">
      <c r="A5" s="53" t="inlineStr">
        <is>
          <t>G-01</t>
        </is>
      </c>
      <c r="B5" s="53" t="inlineStr">
        <is>
          <t>Log quality</t>
        </is>
      </c>
      <c r="C5" s="53" t="inlineStr">
        <is>
          <t>Rows 20, 21, 30</t>
        </is>
      </c>
      <c r="D5" s="53" t="inlineStr">
        <is>
          <t>A response with no Q ID or question. Q-016, Q-017 and Q-026 are missing from the numbering.</t>
        </is>
      </c>
      <c r="E5" s="53" t="inlineStr">
        <is>
          <t>Answers cannot be traced to a question.</t>
        </is>
      </c>
      <c r="F5" s="54" t="inlineStr">
        <is>
          <t>Read by content: row 20 answers Q-018, row 21 answers Q-019, row 30 answers Q-029.</t>
        </is>
      </c>
      <c r="G5" s="53" t="inlineStr">
        <is>
          <t>Q-048</t>
        </is>
      </c>
    </row>
    <row r="6">
      <c r="A6" s="53" t="inlineStr">
        <is>
          <t>G-02</t>
        </is>
      </c>
      <c r="B6" s="53" t="inlineStr">
        <is>
          <t>Log quality</t>
        </is>
      </c>
      <c r="C6" s="53" t="inlineStr">
        <is>
          <t>Q-018 to Q-025 (rows 22-29)</t>
        </is>
      </c>
      <c r="D6" s="53" t="inlineStr">
        <is>
          <t>Each answer sits two rows above its question.</t>
        </is>
      </c>
      <c r="E6" s="53" t="inlineStr">
        <is>
          <t>Reading row by row gives the wrong answer (e.g. Q-020 shows the quarter-conversion rules).</t>
        </is>
      </c>
      <c r="F6" s="54" t="inlineStr">
        <is>
          <t>Mapping used: Q-018→row 20, Q-019→21, Q-020→22, Q-021→23, Q-022→24, Q-023→25, Q-024→26, Q-025→27.</t>
        </is>
      </c>
      <c r="G6" s="53" t="inlineStr">
        <is>
          <t>Q-048</t>
        </is>
      </c>
    </row>
    <row r="7">
      <c r="A7" s="53" t="inlineStr">
        <is>
          <t>G-03</t>
        </is>
      </c>
      <c r="B7" s="53" t="inlineStr">
        <is>
          <t>Log quality</t>
        </is>
      </c>
      <c r="C7" s="53" t="inlineStr">
        <is>
          <t>Q-027 to Q-029 (rows 31-33)</t>
        </is>
      </c>
      <c r="D7" s="53" t="inlineStr">
        <is>
          <t>Answers sit three rows above; row 31 shows the elective T/TR/TX answer that belongs to Q-030.</t>
        </is>
      </c>
      <c r="E7" s="53" t="inlineStr">
        <is>
          <t>Same as above.</t>
        </is>
      </c>
      <c r="F7" s="54" t="inlineStr">
        <is>
          <t>Mapping used: Q-027→row 28, Q-028→row 29, Q-029→row 30, Q-030→rows 31 and 34.</t>
        </is>
      </c>
      <c r="G7" s="53" t="inlineStr">
        <is>
          <t>Q-048</t>
        </is>
      </c>
    </row>
    <row r="8">
      <c r="A8" s="53" t="inlineStr">
        <is>
          <t>G-04</t>
        </is>
      </c>
      <c r="B8" s="53" t="inlineStr">
        <is>
          <t>Log quality</t>
        </is>
      </c>
      <c r="C8" s="53" t="inlineStr">
        <is>
          <t>Q-032 (row 36)</t>
        </is>
      </c>
      <c r="D8" s="53" t="inlineStr">
        <is>
          <t>The response repeats the residency answer of Q-034; the reuse question is unanswered.</t>
        </is>
      </c>
      <c r="E8" s="53" t="inlineStr">
        <is>
          <t>Decision reuse (US-07, rule R10) rests on Q-028's answer only.</t>
        </is>
      </c>
      <c r="F8" s="54" t="inlineStr">
        <is>
          <t>Built our own equivalency table with a reusable flag (Q-028).</t>
        </is>
      </c>
      <c r="G8" s="53" t="inlineStr">
        <is>
          <t>Q-047</t>
        </is>
      </c>
    </row>
    <row r="9">
      <c r="A9" s="53" t="inlineStr">
        <is>
          <t>G-05</t>
        </is>
      </c>
      <c r="B9" s="53" t="inlineStr">
        <is>
          <t>Log quality</t>
        </is>
      </c>
      <c r="C9" s="53" t="inlineStr">
        <is>
          <t>Q-011, Q-036</t>
        </is>
      </c>
      <c r="D9" s="53" t="inlineStr">
        <is>
          <t>Category was blank.</t>
        </is>
      </c>
      <c r="E9" s="53" t="inlineStr">
        <is>
          <t>Questions do not show up when filtering by category.</t>
        </is>
      </c>
      <c r="F9" s="54" t="inlineStr">
        <is>
          <t>Filled: Q-011 = Rules, Q-036 = Business numbers / KPIs.</t>
        </is>
      </c>
      <c r="G9" s="53" t="inlineStr">
        <is>
          <t>Done</t>
        </is>
      </c>
    </row>
    <row r="10">
      <c r="A10" s="53" t="inlineStr">
        <is>
          <t>G-06</t>
        </is>
      </c>
      <c r="B10" s="53" t="inlineStr">
        <is>
          <t>Log quality</t>
        </is>
      </c>
      <c r="C10" s="53" t="inlineStr">
        <is>
          <t>Columns D, E, J, K, L-O</t>
        </is>
      </c>
      <c r="D10" s="53" t="inlineStr">
        <is>
          <t>Submitted by, date, priority, addressed-to and status are filled for few rows.</t>
        </is>
      </c>
      <c r="E10" s="53" t="inlineStr">
        <is>
          <t>Hard to show who asked what and when.</t>
        </is>
      </c>
      <c r="F10" s="54" t="inlineStr">
        <is>
          <t>New rows Q-037 onward are filled completely.</t>
        </is>
      </c>
      <c r="G10" s="53" t="inlineStr">
        <is>
          <t>Open</t>
        </is>
      </c>
    </row>
    <row r="11">
      <c r="A11" s="53" t="inlineStr">
        <is>
          <t>G-07</t>
        </is>
      </c>
      <c r="B11" s="53" t="inlineStr">
        <is>
          <t>Requirements</t>
        </is>
      </c>
      <c r="C11" s="53" t="inlineStr">
        <is>
          <t>Non-functional: performance</t>
        </is>
      </c>
      <c r="D11" s="53" t="inlineStr">
        <is>
          <t>No response-time target.</t>
        </is>
      </c>
      <c r="E11" s="53" t="inlineStr">
        <is>
          <t>Cannot show the app is fast enough.</t>
        </is>
      </c>
      <c r="F11" s="54" t="inlineStr">
        <is>
          <t>Status in under 30 s per transcript; a case opens in under 2 s.</t>
        </is>
      </c>
      <c r="G11" s="53" t="inlineStr">
        <is>
          <t>Q-037</t>
        </is>
      </c>
    </row>
    <row r="12">
      <c r="A12" s="53" t="inlineStr">
        <is>
          <t>G-08</t>
        </is>
      </c>
      <c r="B12" s="53" t="inlineStr">
        <is>
          <t>Requirements</t>
        </is>
      </c>
      <c r="C12" s="53" t="inlineStr">
        <is>
          <t>Non-functional: volume and scale</t>
        </is>
      </c>
      <c r="D12" s="53" t="inlineStr">
        <is>
          <t>No peak-load figure; only the yearly total (8,000 courses).</t>
        </is>
      </c>
      <c r="E12" s="53" t="inlineStr">
        <is>
          <t>No basis for the load test or the 10x plan.</t>
        </is>
      </c>
      <c r="F12" s="54" t="inlineStr">
        <is>
          <t>About 100 transcripts on the busiest day; test at 8,000 courses and plan for 10x.</t>
        </is>
      </c>
      <c r="G12" s="53" t="inlineStr">
        <is>
          <t>Q-038</t>
        </is>
      </c>
    </row>
    <row r="13">
      <c r="A13" s="53" t="inlineStr">
        <is>
          <t>G-09</t>
        </is>
      </c>
      <c r="B13" s="53" t="inlineStr">
        <is>
          <t>Requirements</t>
        </is>
      </c>
      <c r="C13" s="53" t="inlineStr">
        <is>
          <t>Non-functional: availability</t>
        </is>
      </c>
      <c r="D13" s="53" t="inlineStr">
        <is>
          <t>Not discussed.</t>
        </is>
      </c>
      <c r="E13" s="53" t="inlineStr">
        <is>
          <t>Hosting size unknown.</t>
        </is>
      </c>
      <c r="F13" s="54" t="inlineStr">
        <is>
          <t>Business hours; short outage tolerated outside them.</t>
        </is>
      </c>
      <c r="G13" s="53" t="inlineStr">
        <is>
          <t>Q-039</t>
        </is>
      </c>
    </row>
    <row r="14">
      <c r="A14" s="53" t="inlineStr">
        <is>
          <t>G-10</t>
        </is>
      </c>
      <c r="B14" s="53" t="inlineStr">
        <is>
          <t>Requirements</t>
        </is>
      </c>
      <c r="C14" s="53" t="inlineStr">
        <is>
          <t>Baseline measurement</t>
        </is>
      </c>
      <c r="D14" s="53" t="inlineStr">
        <is>
          <t>12 minutes per syllabus is an assumption, not a measurement.</t>
        </is>
      </c>
      <c r="E14" s="53" t="inlineStr">
        <is>
          <t>Time saved cannot be shown as before vs after.</t>
        </is>
      </c>
      <c r="F14" s="54" t="inlineStr">
        <is>
          <t>Time 5 courses by hand and with the tool; report both.</t>
        </is>
      </c>
      <c r="G14" s="53" t="inlineStr">
        <is>
          <t>Q-040</t>
        </is>
      </c>
    </row>
    <row r="15">
      <c r="A15" s="53" t="inlineStr">
        <is>
          <t>G-11</t>
        </is>
      </c>
      <c r="B15" s="53" t="inlineStr">
        <is>
          <t>Requirements</t>
        </is>
      </c>
      <c r="C15" s="53" t="inlineStr">
        <is>
          <t>Non-functional: accessibility</t>
        </is>
      </c>
      <c r="D15" s="53" t="inlineStr">
        <is>
          <t>Not discussed.</t>
        </is>
      </c>
      <c r="E15" s="53" t="inlineStr">
        <is>
          <t>UI acceptance bar unknown.</t>
        </is>
      </c>
      <c r="F15" s="54" t="inlineStr">
        <is>
          <t>WCAG 2.1 AA; phone-friendly student pages.</t>
        </is>
      </c>
      <c r="G15" s="53" t="inlineStr">
        <is>
          <t>Q-041</t>
        </is>
      </c>
    </row>
    <row r="16">
      <c r="A16" s="53" t="inlineStr">
        <is>
          <t>G-12</t>
        </is>
      </c>
      <c r="B16" s="53" t="inlineStr">
        <is>
          <t>Requirements</t>
        </is>
      </c>
      <c r="C16" s="53" t="inlineStr">
        <is>
          <t>Data retention and audit</t>
        </is>
      </c>
      <c r="D16" s="53" t="inlineStr">
        <is>
          <t>FERPA covered (Q-033) but not how long data is kept or who reads the audit log.</t>
        </is>
      </c>
      <c r="E16" s="53" t="inlineStr">
        <is>
          <t>Compliance gap for go-live.</t>
        </is>
      </c>
      <c r="F16" s="54" t="inlineStr">
        <is>
          <t>Keep decisions and audit; delete documents after the appeal window.</t>
        </is>
      </c>
      <c r="G16" s="53" t="inlineStr">
        <is>
          <t>Q-042</t>
        </is>
      </c>
    </row>
    <row r="17">
      <c r="A17" s="53" t="inlineStr">
        <is>
          <t>G-13</t>
        </is>
      </c>
      <c r="B17" s="53" t="inlineStr">
        <is>
          <t>Requirements</t>
        </is>
      </c>
      <c r="C17" s="53" t="inlineStr">
        <is>
          <t>Identity and access</t>
        </is>
      </c>
      <c r="D17" s="53" t="inlineStr">
        <is>
          <t>Sign-in model and reviewer-account approval not discussed.</t>
        </is>
      </c>
      <c r="E17" s="53" t="inlineStr">
        <is>
          <t>Access model for production unknown.</t>
        </is>
      </c>
      <c r="F17" s="54" t="inlineStr">
        <is>
          <t>BU SSO with roles; Credit Evaluation approves reviewer accounts.</t>
        </is>
      </c>
      <c r="G17" s="53" t="inlineStr">
        <is>
          <t>Q-043</t>
        </is>
      </c>
    </row>
    <row r="18">
      <c r="A18" s="53" t="inlineStr">
        <is>
          <t>G-14</t>
        </is>
      </c>
      <c r="B18" s="53" t="inlineStr">
        <is>
          <t>Scope</t>
        </is>
      </c>
      <c r="C18" s="53" t="inlineStr">
        <is>
          <t>Out of scope</t>
        </is>
      </c>
      <c r="D18" s="53" t="inlineStr">
        <is>
          <t>No agreed out-of-scope list.</t>
        </is>
      </c>
      <c r="E18" s="53" t="inlineStr">
        <is>
          <t>Jury cannot tell what was deliberately left out.</t>
        </is>
      </c>
      <c r="F18" s="54" t="inlineStr">
        <is>
          <t>Out of scope: test credit (AP/IB/CLEP), non-English transcripts, appeals workflow, Hub mapping, live MyBU posting.</t>
        </is>
      </c>
      <c r="G18" s="53" t="inlineStr">
        <is>
          <t>Q-044</t>
        </is>
      </c>
    </row>
    <row r="19">
      <c r="A19" s="53" t="inlineStr">
        <is>
          <t>G-15</t>
        </is>
      </c>
      <c r="B19" s="53" t="inlineStr">
        <is>
          <t>Edge cases</t>
        </is>
      </c>
      <c r="C19" s="53" t="inlineStr">
        <is>
          <t>Multiple schools, older catalog years</t>
        </is>
      </c>
      <c r="D19" s="53" t="inlineStr">
        <is>
          <t>Only partly covered (Q-022: newest decision wins).</t>
        </is>
      </c>
      <c r="E19" s="53" t="inlineStr">
        <is>
          <t>Reuse could apply an outdated decision.</t>
        </is>
      </c>
      <c r="F19" s="54" t="inlineStr">
        <is>
          <t>Newest decision for the same catalog years wins; conflicts flagged (R11).</t>
        </is>
      </c>
      <c r="G19" s="53" t="inlineStr">
        <is>
          <t>Q-045</t>
        </is>
      </c>
    </row>
    <row r="20">
      <c r="A20" s="53" t="inlineStr">
        <is>
          <t>G-16</t>
        </is>
      </c>
      <c r="B20" s="53" t="inlineStr">
        <is>
          <t>Scope</t>
        </is>
      </c>
      <c r="C20" s="53" t="inlineStr">
        <is>
          <t>Appeals</t>
        </is>
      </c>
      <c r="D20" s="53" t="inlineStr">
        <is>
          <t>Mentioned in Q-008 (first year only) but no process.</t>
        </is>
      </c>
      <c r="E20" s="53" t="inlineStr">
        <is>
          <t>Unclear if the tool must track appeals.</t>
        </is>
      </c>
      <c r="F20" s="54" t="inlineStr">
        <is>
          <t>Roadmap item, not in the prototype.</t>
        </is>
      </c>
      <c r="G20" s="53" t="inlineStr">
        <is>
          <t>Q-046</t>
        </is>
      </c>
    </row>
    <row r="21">
      <c r="A21" s="53" t="inlineStr">
        <is>
          <t>G-17</t>
        </is>
      </c>
      <c r="B21" s="53" t="inlineStr">
        <is>
          <t>Integration</t>
        </is>
      </c>
      <c r="C21" s="53" t="inlineStr">
        <is>
          <t>MyBU import format</t>
        </is>
      </c>
      <c r="D21" s="53" t="inlineStr">
        <is>
          <t>Only 'simulate a MyBU-style CSV' (Q-024).</t>
        </is>
      </c>
      <c r="E21" s="53" t="inlineStr">
        <is>
          <t>Export may not load into MyBU.</t>
        </is>
      </c>
      <c r="F21" s="54" t="inlineStr">
        <is>
          <t>CSV with BU course or TR code, units and grade T/TX (R24).</t>
        </is>
      </c>
      <c r="G21" s="53" t="inlineStr">
        <is>
          <t>Q-049</t>
        </is>
      </c>
    </row>
    <row r="22">
      <c r="A22" s="53" t="inlineStr">
        <is>
          <t>G-18</t>
        </is>
      </c>
      <c r="B22" s="53" t="inlineStr">
        <is>
          <t>Adoption</t>
        </is>
      </c>
      <c r="C22" s="53" t="inlineStr">
        <is>
          <t>Sign-off and ownership</t>
        </is>
      </c>
      <c r="D22" s="53" t="inlineStr">
        <is>
          <t>Not discussed.</t>
        </is>
      </c>
      <c r="E22" s="53" t="inlineStr">
        <is>
          <t>Unclear who trusts and maintains the tool after go-live.</t>
        </is>
      </c>
      <c r="F22" s="54" t="inlineStr">
        <is>
          <t>Evaluators decide every new equivalency; departments own their decisions.</t>
        </is>
      </c>
      <c r="G22" s="53" t="inlineStr">
        <is>
          <t>Q-050</t>
        </is>
      </c>
    </row>
  </sheetData>
  <autoFilter ref="A4:G22"/>
  <mergeCells count="1">
    <mergeCell ref="A2:G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Kezia Rani Singh</dc:creator>
  <dc:language>en-IN</dc:language>
  <dcterms:created xsi:type="dcterms:W3CDTF">2026-10-22T12:17:14Z</dcterms:created>
  <dcterms:modified xsi:type="dcterms:W3CDTF">2026-10-30T13:27:07Z</dcterms:modified>
  <cp:revision>6</cp:revision>
</cp:coreProperties>
</file>