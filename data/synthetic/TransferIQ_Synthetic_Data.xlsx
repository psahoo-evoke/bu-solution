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emo Scenario" sheetId="2" state="visible" r:id="rId2"/>
    <sheet name="Students" sheetId="3" state="visible" r:id="rId3"/>
    <sheet name="Transcript Lines" sheetId="4" state="visible" r:id="rId4"/>
    <sheet name="BU Courses" sheetId="5" state="visible" r:id="rId5"/>
    <sheet name="Schools" sheetId="6" state="visible" r:id="rId6"/>
    <sheet name="External Courses" sheetId="7" state="visible" r:id="rId7"/>
    <sheet name="Past Decisions" sheetId="8" state="visible" r:id="rId8"/>
    <sheet name="Syllabi Index" sheetId="9" state="visible" r:id="rId9"/>
    <sheet name="Transcripts Index" sheetId="10" state="visible" r:id="rId10"/>
    <sheet name="Rules" sheetId="11" state="visible" r:id="rId11"/>
    <sheet name="Reason Codes" sheetId="12" state="visible" r:id="rId12"/>
    <sheet name="Test Cases" sheetId="13" state="visible" r:id="rId13"/>
  </sheets>
  <definedNames>
    <definedName name="_xlnm._FilterDatabase" localSheetId="1" hidden="1">'Demo Scenario'!$A$1:$D$9</definedName>
    <definedName name="_xlnm._FilterDatabase" localSheetId="2" hidden="1">'Students'!$A$1:$N$5</definedName>
    <definedName name="_xlnm._FilterDatabase" localSheetId="3" hidden="1">'Transcript Lines'!$A$1:$R$57</definedName>
    <definedName name="_xlnm._FilterDatabase" localSheetId="4" hidden="1">'BU Courses'!$A$1:$L$151</definedName>
    <definedName name="_xlnm._FilterDatabase" localSheetId="5" hidden="1">'Schools'!$A$1:$H$5</definedName>
    <definedName name="_xlnm._FilterDatabase" localSheetId="6" hidden="1">'External Courses'!$A$1:$Q$195</definedName>
    <definedName name="_xlnm._FilterDatabase" localSheetId="7" hidden="1">'Past Decisions'!$A$1:$T$101</definedName>
    <definedName name="_xlnm._FilterDatabase" localSheetId="8" hidden="1">'Syllabi Index'!$A$1:$I$13</definedName>
    <definedName name="_xlnm._FilterDatabase" localSheetId="9" hidden="1">'Transcripts Index'!$A$1:$E$8</definedName>
    <definedName name="_xlnm._FilterDatabase" localSheetId="10" hidden="1">'Rules'!$A$1:$G$25</definedName>
    <definedName name="_xlnm._FilterDatabase" localSheetId="11" hidden="1">'Reason Codes'!$A$1:$C$23</definedName>
    <definedName name="_xlnm._FilterDatabase" localSheetId="12" hidden="1">'Test Cases'!$A$1:$D$21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Arial"/>
      <b val="1"/>
      <color rgb="00B00020"/>
      <sz val="10"/>
    </font>
    <font>
      <name val="Arial"/>
      <b val="1"/>
      <color rgb="00FFFFFF"/>
      <sz val="10"/>
    </font>
    <font>
      <name val="Arial"/>
      <i val="1"/>
      <sz val="9"/>
    </font>
  </fonts>
  <fills count="4">
    <fill>
      <patternFill/>
    </fill>
    <fill>
      <patternFill patternType="gray125"/>
    </fill>
    <fill>
      <patternFill patternType="solid">
        <fgColor rgb="001F3A5F"/>
      </patternFill>
    </fill>
    <fill>
      <patternFill patternType="solid">
        <fgColor rgb="007B2D2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3" fillId="0" borderId="0" applyAlignment="1" pivotButton="0" quotePrefix="0" xfId="0">
      <alignment vertical="top"/>
    </xf>
    <xf numFmtId="0" fontId="6" fillId="0" borderId="0" pivotButton="0" quotePrefix="0" xfId="0"/>
    <xf numFmtId="0" fontId="5"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20" customWidth="1" min="2" max="2"/>
  </cols>
  <sheetData>
    <row r="1">
      <c r="A1" s="1" t="inlineStr">
        <is>
          <t>TransferIQ synthetic data set (v2: Northeastern + NYU)</t>
        </is>
      </c>
      <c r="B1" t="inlineStr"/>
    </row>
    <row r="2">
      <c r="A2" s="2" t="inlineStr">
        <is>
          <t>Purpose</t>
        </is>
      </c>
      <c r="B2" s="3" t="inlineStr">
        <is>
          <t>Test data for the EvoHack 2026 transfer credit evaluation prototype (Boston University problem statement).</t>
        </is>
      </c>
    </row>
    <row r="3">
      <c r="A3" s="2" t="inlineStr">
        <is>
          <t>Status</t>
        </is>
      </c>
      <c r="B3" s="4" t="inlineStr">
        <is>
          <t>TEST DATA. Students, grades, transcripts, syllabus content, instructors and decisions are invented. Transcripts and syllabi were NOT issued by Northeastern or NYU.</t>
        </is>
      </c>
    </row>
    <row r="4">
      <c r="A4" s="2" t="inlineStr">
        <is>
          <t>Source schools</t>
        </is>
      </c>
      <c r="B4" s="3" t="inlineStr">
        <is>
          <t>Northeastern University (NEU) and New York University (NYU), as given in the hackathon workbook. Two fictional helper schools cover cases NU/NYU cannot: Pinecrest State College (quarter calendar, 1 course) and Summit Online Institute (not regionally accredited, 2 courses).</t>
        </is>
      </c>
    </row>
    <row r="5">
      <c r="A5" s="2" t="inlineStr">
        <is>
          <t>BU courses</t>
        </is>
      </c>
      <c r="B5" s="3" t="inlineStr">
        <is>
          <t>150 courses across 5 majors. 41 codes/titles come from the provided BU workbook; 109 are synthetic. All descriptions, topics and outcomes are synthetic.</t>
        </is>
      </c>
    </row>
    <row r="6">
      <c r="A6" s="2" t="inlineStr">
        <is>
          <t>External courses</t>
        </is>
      </c>
      <c r="B6" s="3" t="inlineStr">
        <is>
          <t>194 courses: 76 real NU/NYU catalog courses (code, title, credits from the workbook; content synthetic) + 115 synthetic NU/NYU-style courses + 3 helper-school courses. See the Source column.</t>
        </is>
      </c>
    </row>
    <row r="7">
      <c r="A7" s="2" t="inlineStr">
        <is>
          <t>Ground truth</t>
        </is>
      </c>
      <c r="B7" s="3" t="inlineStr">
        <is>
          <t>Columns with a dark red header (gt_*) are answer keys. For the 76 real courses the counterpart follows the workbook's Course Match sheet. Hide gt_* from the AI matcher.</t>
        </is>
      </c>
    </row>
    <row r="8">
      <c r="A8" s="2" t="inlineStr">
        <is>
          <t>Past decisions</t>
        </is>
      </c>
      <c r="B8" s="3" t="inlineStr">
        <is>
          <t>100 decisions = the stand-in equivalency table. split = train (reusable, 70) or holdout (hidden from the app, used to measure AI accuracy, 30).</t>
        </is>
      </c>
    </row>
    <row r="9">
      <c r="A9" s="2" t="inlineStr">
        <is>
          <t>Transcripts</t>
        </is>
      </c>
      <c r="B9" s="3" t="inlineStr">
        <is>
          <t>4 students, 7 transcript PDFs, 56 course lines. Transcript Lines shows the expected rules-engine outcome for each line.</t>
        </is>
      </c>
    </row>
    <row r="10">
      <c r="A10" s="2" t="inlineStr">
        <is>
          <t>Syllabi</t>
        </is>
      </c>
      <c r="B10" s="3" t="inlineStr">
        <is>
          <t>12 syllabus PDFs: demo maybe-courses, one incomplete (TM), one with a prompt-injection line (red team), three for held-out courses.</t>
        </is>
      </c>
    </row>
    <row r="11">
      <c r="A11" s="2" t="inlineStr">
        <is>
          <t>Codes (assumption)</t>
        </is>
      </c>
      <c r="B11" s="3" t="inlineStr">
        <is>
          <t>Elective codes follow the sponsor's 'ends in TR' rule: CAS &lt;DEPT&gt; 1TR (100-level) / 2TR (200+), TFRGEN 1TR for general electives. No credit = TFRGEN NOCRDT, 0 units, TX.</t>
        </is>
      </c>
    </row>
    <row r="12">
      <c r="A12" s="2" t="inlineStr">
        <is>
          <t>Formulas</t>
        </is>
      </c>
      <c r="B12" s="3" t="inlineStr">
        <is>
          <t>Transcript Lines 'Units if approved' and the Students summary columns are live formulas.</t>
        </is>
      </c>
    </row>
    <row r="13">
      <c r="A13" s="2" t="inlineStr">
        <is>
          <t>Seed files</t>
        </is>
      </c>
      <c r="B13" s="3" t="inlineStr">
        <is>
          <t>seed/*.csv (one per sheet; list fields joined with ' | ') and seed/transferiq_seed.json (lists kept as arrays).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0" customWidth="1" min="1" max="1"/>
    <col width="13.5" customWidth="1" min="2" max="2"/>
    <col width="60" customWidth="1" min="3" max="3"/>
    <col width="70" customWidth="1" min="4" max="4"/>
  </cols>
  <sheetData>
    <row r="1">
      <c r="A1" s="5" t="inlineStr">
        <is>
          <t>Step</t>
        </is>
      </c>
      <c r="B1" s="5" t="inlineStr">
        <is>
          <t>Stage</t>
        </is>
      </c>
      <c r="C1" s="5" t="inlineStr">
        <is>
          <t>Action / input</t>
        </is>
      </c>
      <c r="D1" s="5" t="inlineStr">
        <is>
          <t>Expected result</t>
        </is>
      </c>
    </row>
    <row r="2">
      <c r="A2" s="6" t="n">
        <v>1</v>
      </c>
      <c r="B2" s="6" t="inlineStr">
        <is>
          <t>Upload</t>
        </is>
      </c>
      <c r="C2" s="3" t="inlineStr">
        <is>
          <t>Maya uploads Transcript_SYN-24001_NYU and Transcript_SYN-24001_PSC</t>
        </is>
      </c>
      <c r="D2" s="3" t="inlineStr">
        <is>
          <t>6 lines extracted; PSY 215 flagged quarter-system</t>
        </is>
      </c>
    </row>
    <row r="3">
      <c r="A3" s="6" t="n">
        <v>2</v>
      </c>
      <c r="B3" s="6" t="inlineStr">
        <is>
          <t>Instant matches</t>
        </is>
      </c>
      <c r="C3" s="3" t="inlineStr">
        <is>
          <t>NYU PSYCH-UA 1, MATH-UA 121, ECON-UA 2 hit the equivalency table</t>
        </is>
      </c>
      <c r="D3" s="3" t="inlineStr">
        <is>
          <t>CAS PS 101, CAS MA 123, CAS EC 101; 4 units each; grade T</t>
        </is>
      </c>
    </row>
    <row r="4">
      <c r="A4" s="6" t="n">
        <v>3</v>
      </c>
      <c r="B4" s="6" t="inlineStr">
        <is>
          <t>Quarter course</t>
        </is>
      </c>
      <c r="C4" s="3" t="inlineStr">
        <is>
          <t>PSC PSY 215 Psychology of Music, 4 qtr credits, B</t>
        </is>
      </c>
      <c r="D4" s="6" t="inlineStr">
        <is>
          <t>Elective CAS PS 2TR, 2.67 units</t>
        </is>
      </c>
    </row>
    <row r="5">
      <c r="A5" s="6" t="n">
        <v>4</v>
      </c>
      <c r="B5" s="6" t="inlineStr">
        <is>
          <t>Maybe 1</t>
        </is>
      </c>
      <c r="C5" s="3" t="inlineStr">
        <is>
          <t>NYU PSYCH-UA 10 with Syllabus_NYU_PSYCH-UA-10.pdf on file</t>
        </is>
      </c>
      <c r="D5" s="3" t="inlineStr">
        <is>
          <t>AI: ~75% overlap with CAS PS 211 -&gt; evaluator decides (workbook: partial, statistics vs experimental design)</t>
        </is>
      </c>
    </row>
    <row r="6">
      <c r="A6" s="6" t="n">
        <v>5</v>
      </c>
      <c r="B6" s="6" t="inlineStr">
        <is>
          <t>Maybe 2</t>
        </is>
      </c>
      <c r="C6" s="3" t="inlineStr">
        <is>
          <t>NYU PSYCH-UA 25 Cognitive Neuroscience, no syllabus</t>
        </is>
      </c>
      <c r="D6" s="3" t="inlineStr">
        <is>
          <t>TS status; preliminary suggestion from description; reminders day 7/21/45</t>
        </is>
      </c>
    </row>
    <row r="7">
      <c r="A7" s="6" t="n">
        <v>6</v>
      </c>
      <c r="B7" s="6" t="inlineStr">
        <is>
          <t>Evaluator</t>
        </is>
      </c>
      <c r="C7" s="3" t="inlineStr">
        <is>
          <t>Open PSYCH-UA 10; comparison already done; approve with reason code</t>
        </is>
      </c>
      <c r="D7" s="6" t="inlineStr">
        <is>
          <t>Decision saved, reusable = Yes</t>
        </is>
      </c>
    </row>
    <row r="8">
      <c r="A8" s="6" t="n">
        <v>7</v>
      </c>
      <c r="B8" s="6" t="inlineStr">
        <is>
          <t>Late upload</t>
        </is>
      </c>
      <c r="C8" s="3" t="inlineStr">
        <is>
          <t>Maya uploads Syllabus_NYU_PSYCH-UA-25.pdf</t>
        </is>
      </c>
      <c r="D8" s="3" t="inlineStr">
        <is>
          <t>AI: ~62% overlap with CAS PS 231 -&gt; evaluator decides (expected: elective CAS PS 2TR)</t>
        </is>
      </c>
    </row>
    <row r="9">
      <c r="A9" s="6" t="n">
        <v>8</v>
      </c>
      <c r="B9" s="6" t="inlineStr">
        <is>
          <t>Posting</t>
        </is>
      </c>
      <c r="C9" s="3" t="inlineStr">
        <is>
          <t>Department -&gt; Registrar -&gt; MyBU-style CSV</t>
        </is>
      </c>
      <c r="D9" s="3" t="inlineStr">
        <is>
          <t>Secured credit updates; Liam's NYU PSYCH-UA 10 now matches instantly</t>
        </is>
      </c>
    </row>
  </sheetData>
  <autoFilter ref="A1:D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2" customWidth="1" min="1" max="1"/>
    <col width="13.5" customWidth="1" min="2" max="2"/>
    <col width="19" customWidth="1" min="3" max="3"/>
    <col width="23.4" customWidth="1" min="4" max="4"/>
    <col width="15" customWidth="1" min="5" max="5"/>
    <col width="70" customWidth="1" min="6" max="6"/>
    <col width="18" customWidth="1" min="7" max="7"/>
    <col width="25" customWidth="1" min="8" max="8"/>
    <col width="30" customWidth="1" min="9" max="9"/>
    <col width="17" customWidth="1" min="10" max="10"/>
    <col width="21.6" customWidth="1" min="11" max="11"/>
    <col width="10.8" customWidth="1" min="12" max="12"/>
    <col width="45" customWidth="1" min="13" max="13"/>
    <col width="17" customWidth="1" min="14" max="14"/>
  </cols>
  <sheetData>
    <row r="1">
      <c r="A1" s="5" t="inlineStr">
        <is>
          <t>Student ID</t>
        </is>
      </c>
      <c r="B1" s="5" t="inlineStr">
        <is>
          <t>Name</t>
        </is>
      </c>
      <c r="C1" s="5" t="inlineStr">
        <is>
          <t>Intended BU major</t>
        </is>
      </c>
      <c r="D1" s="5" t="inlineStr">
        <is>
          <t>BU school</t>
        </is>
      </c>
      <c r="E1" s="5" t="inlineStr">
        <is>
          <t>BU start term</t>
        </is>
      </c>
      <c r="F1" s="5" t="inlineStr">
        <is>
          <t>Story</t>
        </is>
      </c>
      <c r="G1" s="5" t="inlineStr">
        <is>
          <t>Transcript lines</t>
        </is>
      </c>
      <c r="H1" s="5" t="inlineStr">
        <is>
          <t>Units secured (matched)</t>
        </is>
      </c>
      <c r="I1" s="5" t="inlineStr">
        <is>
          <t>Units pending (maybe/review)</t>
        </is>
      </c>
      <c r="J1" s="5" t="inlineStr">
        <is>
          <t>No-credit lines</t>
        </is>
      </c>
      <c r="K1" s="5" t="inlineStr">
        <is>
          <t>Email</t>
        </is>
      </c>
      <c r="L1" s="5" t="inlineStr">
        <is>
          <t>Phone</t>
        </is>
      </c>
      <c r="M1" s="5" t="inlineStr">
        <is>
          <t>Address</t>
        </is>
      </c>
      <c r="N1" s="5" t="inlineStr">
        <is>
          <t>Previous school</t>
        </is>
      </c>
    </row>
    <row r="2">
      <c r="A2" s="6" t="inlineStr">
        <is>
          <t>SYN-24001</t>
        </is>
      </c>
      <c r="B2" s="6" t="inlineStr">
        <is>
          <t>Maya R. Delgado</t>
        </is>
      </c>
      <c r="C2" s="6" t="inlineStr">
        <is>
          <t>Psychology</t>
        </is>
      </c>
      <c r="D2" s="6" t="inlineStr">
        <is>
          <t>College of Arts &amp; Sciences</t>
        </is>
      </c>
      <c r="E2" s="6" t="inlineStr">
        <is>
          <t>Fall 2026</t>
        </is>
      </c>
      <c r="F2" s="3" t="inlineStr">
        <is>
          <t>Demo student from NYU: 6 courses (3 existing matches, 2 maybe, 1 summer quarter-system course)</t>
        </is>
      </c>
      <c r="G2" s="6">
        <f>COUNTIF('Transcript Lines'!$B$2:$B$57,A2)</f>
        <v/>
      </c>
      <c r="H2" s="6">
        <f>SUMIFS('Transcript Lines'!$M$2:$M$57,'Transcript Lines'!$B$2:$B$57,A2,'Transcript Lines'!$K$2:$K$57,"Matched*")</f>
        <v/>
      </c>
      <c r="I2" s="6">
        <f>SUMIFS('Transcript Lines'!$J$2:$J$57,'Transcript Lines'!$B$2:$B$57,A2,'Transcript Lines'!$K$2:$K$57,"Maybe*")+SUMIFS('Transcript Lines'!$J$2:$J$57,'Transcript Lines'!$B$2:$B$57,A2,'Transcript Lines'!$K$2:$K$57,"Pending*")</f>
        <v/>
      </c>
      <c r="J2" s="6">
        <f>COUNTIFS('Transcript Lines'!$B$2:$B$57,A2,'Transcript Lines'!$N$2:$N$57,"TX")</f>
        <v/>
      </c>
      <c r="K2" s="6" t="inlineStr">
        <is>
          <t>maya.delgado@example.edu</t>
        </is>
      </c>
      <c r="L2" s="6" t="inlineStr">
        <is>
          <t>212-555-0141</t>
        </is>
      </c>
      <c r="M2" s="3" t="inlineStr">
        <is>
          <t>418 Quillfeather Row, Apt 3B, Brooklyn, NY 11215</t>
        </is>
      </c>
      <c r="N2" s="6" t="inlineStr">
        <is>
          <t>NYU</t>
        </is>
      </c>
    </row>
    <row r="3">
      <c r="A3" s="6" t="inlineStr">
        <is>
          <t>SYN-24002</t>
        </is>
      </c>
      <c r="B3" s="6" t="inlineStr">
        <is>
          <t>Jordan A. Reyes</t>
        </is>
      </c>
      <c r="C3" s="6" t="inlineStr">
        <is>
          <t>Computer Science</t>
        </is>
      </c>
      <c r="D3" s="6" t="inlineStr">
        <is>
          <t>College of Arts &amp; Sciences</t>
        </is>
      </c>
      <c r="E3" s="6" t="inlineStr">
        <is>
          <t>Fall 2026</t>
        </is>
      </c>
      <c r="F3" s="3" t="inlineStr">
        <is>
          <t>From Northeastern. Rules showcase: C-, developmental math, P/F, 1-credit seminar, duplicate, CS Group C residency, 7-year-old course, incomplete syllabus</t>
        </is>
      </c>
      <c r="G3" s="6">
        <f>COUNTIF('Transcript Lines'!$B$2:$B$57,A3)</f>
        <v/>
      </c>
      <c r="H3" s="6">
        <f>SUMIFS('Transcript Lines'!$M$2:$M$57,'Transcript Lines'!$B$2:$B$57,A3,'Transcript Lines'!$K$2:$K$57,"Matched*")</f>
        <v/>
      </c>
      <c r="I3" s="6">
        <f>SUMIFS('Transcript Lines'!$J$2:$J$57,'Transcript Lines'!$B$2:$B$57,A3,'Transcript Lines'!$K$2:$K$57,"Maybe*")+SUMIFS('Transcript Lines'!$J$2:$J$57,'Transcript Lines'!$B$2:$B$57,A3,'Transcript Lines'!$K$2:$K$57,"Pending*")</f>
        <v/>
      </c>
      <c r="J3" s="6">
        <f>COUNTIFS('Transcript Lines'!$B$2:$B$57,A3,'Transcript Lines'!$N$2:$N$57,"TX")</f>
        <v/>
      </c>
      <c r="K3" s="6" t="inlineStr">
        <is>
          <t>jordan.reyes@example.edu</t>
        </is>
      </c>
      <c r="L3" s="6" t="inlineStr">
        <is>
          <t>617-555-0122</t>
        </is>
      </c>
      <c r="M3" s="3" t="inlineStr">
        <is>
          <t>27 Thistlebrook Lane, Somerville, MA 02144</t>
        </is>
      </c>
      <c r="N3" s="6" t="inlineStr">
        <is>
          <t>NEU</t>
        </is>
      </c>
    </row>
    <row r="4">
      <c r="A4" s="6" t="inlineStr">
        <is>
          <t>SYN-24003</t>
        </is>
      </c>
      <c r="B4" s="6" t="inlineStr">
        <is>
          <t>Aisha K. Bello</t>
        </is>
      </c>
      <c r="C4" s="6" t="inlineStr">
        <is>
          <t>Biology</t>
        </is>
      </c>
      <c r="D4" s="6" t="inlineStr">
        <is>
          <t>College of Arts &amp; Sciences</t>
        </is>
      </c>
      <c r="E4" s="6" t="inlineStr">
        <is>
          <t>Fall 2026</t>
        </is>
      </c>
      <c r="F4" s="3" t="inlineStr">
        <is>
          <t>From Northeastern. 5-credit lab courses; NU's one-semester general chemistry (maybe); research course; same-year conflicting decisions</t>
        </is>
      </c>
      <c r="G4" s="6">
        <f>COUNTIF('Transcript Lines'!$B$2:$B$57,A4)</f>
        <v/>
      </c>
      <c r="H4" s="6">
        <f>SUMIFS('Transcript Lines'!$M$2:$M$57,'Transcript Lines'!$B$2:$B$57,A4,'Transcript Lines'!$K$2:$K$57,"Matched*")</f>
        <v/>
      </c>
      <c r="I4" s="6">
        <f>SUMIFS('Transcript Lines'!$J$2:$J$57,'Transcript Lines'!$B$2:$B$57,A4,'Transcript Lines'!$K$2:$K$57,"Maybe*")+SUMIFS('Transcript Lines'!$J$2:$J$57,'Transcript Lines'!$B$2:$B$57,A4,'Transcript Lines'!$K$2:$K$57,"Pending*")</f>
        <v/>
      </c>
      <c r="J4" s="6">
        <f>COUNTIFS('Transcript Lines'!$B$2:$B$57,A4,'Transcript Lines'!$N$2:$N$57,"TX")</f>
        <v/>
      </c>
      <c r="K4" s="6" t="inlineStr">
        <is>
          <t>aisha.bello@example.edu</t>
        </is>
      </c>
      <c r="L4" s="6" t="inlineStr">
        <is>
          <t>857-555-0163</t>
        </is>
      </c>
      <c r="M4" s="3" t="inlineStr">
        <is>
          <t>1190 Marrowind Avenue, Unit 2, Quincy, MA 02169</t>
        </is>
      </c>
      <c r="N4" s="6" t="inlineStr">
        <is>
          <t>NEU</t>
        </is>
      </c>
    </row>
    <row r="5">
      <c r="A5" s="6" t="inlineStr">
        <is>
          <t>SYN-24004</t>
        </is>
      </c>
      <c r="B5" s="6" t="inlineStr">
        <is>
          <t>Liam O. Novak</t>
        </is>
      </c>
      <c r="C5" s="6" t="inlineStr">
        <is>
          <t>Economics</t>
        </is>
      </c>
      <c r="D5" s="6" t="inlineStr">
        <is>
          <t>College of Arts &amp; Sciences</t>
        </is>
      </c>
      <c r="E5" s="6" t="inlineStr">
        <is>
          <t>Fall 2026</t>
        </is>
      </c>
      <c r="F5" s="3" t="inlineStr">
        <is>
          <t>Northeastern then NYU (+ one non-accredited online school). 68-unit cap, ROTC, internship, superseded decision, prompt-injection syllabus, reuses Maya's approved course</t>
        </is>
      </c>
      <c r="G5" s="6">
        <f>COUNTIF('Transcript Lines'!$B$2:$B$57,A5)</f>
        <v/>
      </c>
      <c r="H5" s="6">
        <f>SUMIFS('Transcript Lines'!$M$2:$M$57,'Transcript Lines'!$B$2:$B$57,A5,'Transcript Lines'!$K$2:$K$57,"Matched*")</f>
        <v/>
      </c>
      <c r="I5" s="6">
        <f>SUMIFS('Transcript Lines'!$J$2:$J$57,'Transcript Lines'!$B$2:$B$57,A5,'Transcript Lines'!$K$2:$K$57,"Maybe*")+SUMIFS('Transcript Lines'!$J$2:$J$57,'Transcript Lines'!$B$2:$B$57,A5,'Transcript Lines'!$K$2:$K$57,"Pending*")</f>
        <v/>
      </c>
      <c r="J5" s="6">
        <f>COUNTIFS('Transcript Lines'!$B$2:$B$57,A5,'Transcript Lines'!$N$2:$N$57,"TX")</f>
        <v/>
      </c>
      <c r="K5" s="6" t="inlineStr">
        <is>
          <t>liam.novak@example.edu</t>
        </is>
      </c>
      <c r="L5" s="6" t="inlineStr">
        <is>
          <t>646-555-0187</t>
        </is>
      </c>
      <c r="M5" s="3" t="inlineStr">
        <is>
          <t>62 Copperkettle Street, Apt 5F, Hoboken, NJ 07030</t>
        </is>
      </c>
      <c r="N5" s="6" t="inlineStr">
        <is>
          <t>NYU</t>
        </is>
      </c>
    </row>
    <row r="7">
      <c r="A7" s="7" t="inlineStr">
        <is>
          <t>Columns G-J are formulas over Transcript Lines. Units secured includes capped values; pending = units if approved.</t>
        </is>
      </c>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3" customWidth="1" min="5" max="5"/>
    <col width="42" customWidth="1" min="6" max="6"/>
    <col width="10" customWidth="1" min="7" max="7"/>
    <col width="10" customWidth="1" min="8" max="8"/>
    <col width="10" customWidth="1" min="9" max="9"/>
    <col width="12" customWidth="1" min="10" max="10"/>
    <col width="48" customWidth="1" min="11" max="11"/>
    <col width="20" customWidth="1" min="12" max="12"/>
    <col width="16" customWidth="1" min="13" max="13"/>
    <col width="19" customWidth="1" min="14" max="14"/>
    <col width="22" customWidth="1" min="15" max="15"/>
    <col width="60" customWidth="1" min="16" max="16"/>
    <col width="16" customWidth="1" min="17" max="17"/>
    <col width="16" customWidth="1" min="18" max="18"/>
  </cols>
  <sheetData>
    <row r="1">
      <c r="A1" s="5" t="inlineStr">
        <is>
          <t>Line ID</t>
        </is>
      </c>
      <c r="B1" s="5" t="inlineStr">
        <is>
          <t>Student ID</t>
        </is>
      </c>
      <c r="C1" s="5" t="inlineStr">
        <is>
          <t>School</t>
        </is>
      </c>
      <c r="D1" s="5" t="inlineStr">
        <is>
          <t>Term</t>
        </is>
      </c>
      <c r="E1" s="5" t="inlineStr">
        <is>
          <t>Course code</t>
        </is>
      </c>
      <c r="F1" s="5" t="inlineStr">
        <is>
          <t>Title</t>
        </is>
      </c>
      <c r="G1" s="5" t="inlineStr">
        <is>
          <t>Credits</t>
        </is>
      </c>
      <c r="H1" s="5" t="inlineStr">
        <is>
          <t>Calendar</t>
        </is>
      </c>
      <c r="I1" s="5" t="inlineStr">
        <is>
          <t>Grade</t>
        </is>
      </c>
      <c r="J1" s="5" t="inlineStr">
        <is>
          <t>Units if approved</t>
        </is>
      </c>
      <c r="K1" s="5" t="inlineStr">
        <is>
          <t>Expected status</t>
        </is>
      </c>
      <c r="L1" s="5" t="inlineStr">
        <is>
          <t>Expected BU course</t>
        </is>
      </c>
      <c r="M1" s="5" t="inlineStr">
        <is>
          <t>Expected units</t>
        </is>
      </c>
      <c r="N1" s="5" t="inlineStr">
        <is>
          <t>Expected BU grade</t>
        </is>
      </c>
      <c r="O1" s="5" t="inlineStr">
        <is>
          <t>Expected reason code</t>
        </is>
      </c>
      <c r="P1" s="5" t="inlineStr">
        <is>
          <t>Flags</t>
        </is>
      </c>
      <c r="Q1" s="8" t="inlineStr">
        <is>
          <t>gt_counterpart</t>
        </is>
      </c>
      <c r="R1" s="8" t="inlineStr">
        <is>
          <t>gt_overlap_pct</t>
        </is>
      </c>
    </row>
    <row r="2">
      <c r="A2" s="6" t="inlineStr">
        <is>
          <t>L-001</t>
        </is>
      </c>
      <c r="B2" s="6" t="inlineStr">
        <is>
          <t>SYN-24001</t>
        </is>
      </c>
      <c r="C2" s="6" t="inlineStr">
        <is>
          <t>NYU</t>
        </is>
      </c>
      <c r="D2" s="6" t="inlineStr">
        <is>
          <t>Fall 2024</t>
        </is>
      </c>
      <c r="E2" s="6" t="inlineStr">
        <is>
          <t>PSYCH-UA 1</t>
        </is>
      </c>
      <c r="F2" s="6" t="inlineStr">
        <is>
          <t>Intro to Psychology</t>
        </is>
      </c>
      <c r="G2" s="6" t="n">
        <v>4</v>
      </c>
      <c r="H2" s="6" t="inlineStr">
        <is>
          <t>Semester</t>
        </is>
      </c>
      <c r="I2" s="6" t="inlineStr">
        <is>
          <t>A-</t>
        </is>
      </c>
      <c r="J2" s="6">
        <f>IF(H2="Quarter",ROUND(G2*2/3,2),G2)</f>
        <v/>
      </c>
      <c r="K2" s="6" t="inlineStr">
        <is>
          <t>Matched - existing equivalency</t>
        </is>
      </c>
      <c r="L2" s="6" t="inlineStr">
        <is>
          <t>CAS PS 101</t>
        </is>
      </c>
      <c r="M2" s="6" t="n">
        <v>4</v>
      </c>
      <c r="N2" s="6" t="inlineStr">
        <is>
          <t>T</t>
        </is>
      </c>
      <c r="O2" s="6" t="inlineStr">
        <is>
          <t>EQ-CONTENT</t>
        </is>
      </c>
      <c r="P2" s="6" t="inlineStr"/>
      <c r="Q2" s="6" t="inlineStr">
        <is>
          <t>CAS PS 101</t>
        </is>
      </c>
      <c r="R2" s="6" t="n">
        <v>87</v>
      </c>
    </row>
    <row r="3">
      <c r="A3" s="6" t="inlineStr">
        <is>
          <t>L-002</t>
        </is>
      </c>
      <c r="B3" s="6" t="inlineStr">
        <is>
          <t>SYN-24001</t>
        </is>
      </c>
      <c r="C3" s="6" t="inlineStr">
        <is>
          <t>NYU</t>
        </is>
      </c>
      <c r="D3" s="6" t="inlineStr">
        <is>
          <t>Fall 2024</t>
        </is>
      </c>
      <c r="E3" s="6" t="inlineStr">
        <is>
          <t>MATH-UA 121</t>
        </is>
      </c>
      <c r="F3" s="6" t="inlineStr">
        <is>
          <t>Calculus I</t>
        </is>
      </c>
      <c r="G3" s="6" t="n">
        <v>4</v>
      </c>
      <c r="H3" s="6" t="inlineStr">
        <is>
          <t>Semester</t>
        </is>
      </c>
      <c r="I3" s="6" t="inlineStr">
        <is>
          <t>B+</t>
        </is>
      </c>
      <c r="J3" s="6">
        <f>IF(H3="Quarter",ROUND(G3*2/3,2),G3)</f>
        <v/>
      </c>
      <c r="K3" s="6" t="inlineStr">
        <is>
          <t>Matched - existing equivalency</t>
        </is>
      </c>
      <c r="L3" s="6" t="inlineStr">
        <is>
          <t>CAS MA 123</t>
        </is>
      </c>
      <c r="M3" s="6" t="n">
        <v>4</v>
      </c>
      <c r="N3" s="6" t="inlineStr">
        <is>
          <t>T</t>
        </is>
      </c>
      <c r="O3" s="6" t="inlineStr">
        <is>
          <t>EQ-CONTENT</t>
        </is>
      </c>
      <c r="P3" s="6" t="inlineStr"/>
      <c r="Q3" s="6" t="inlineStr">
        <is>
          <t>CAS MA 123</t>
        </is>
      </c>
      <c r="R3" s="6" t="n">
        <v>100</v>
      </c>
    </row>
    <row r="4">
      <c r="A4" s="6" t="inlineStr">
        <is>
          <t>L-003</t>
        </is>
      </c>
      <c r="B4" s="6" t="inlineStr">
        <is>
          <t>SYN-24001</t>
        </is>
      </c>
      <c r="C4" s="6" t="inlineStr">
        <is>
          <t>NYU</t>
        </is>
      </c>
      <c r="D4" s="6" t="inlineStr">
        <is>
          <t>Fall 2024</t>
        </is>
      </c>
      <c r="E4" s="6" t="inlineStr">
        <is>
          <t>ECON-UA 2</t>
        </is>
      </c>
      <c r="F4" s="6" t="inlineStr">
        <is>
          <t>Introduction to Microeconomics</t>
        </is>
      </c>
      <c r="G4" s="6" t="n">
        <v>4</v>
      </c>
      <c r="H4" s="6" t="inlineStr">
        <is>
          <t>Semester</t>
        </is>
      </c>
      <c r="I4" s="6" t="inlineStr">
        <is>
          <t>B</t>
        </is>
      </c>
      <c r="J4" s="6">
        <f>IF(H4="Quarter",ROUND(G4*2/3,2),G4)</f>
        <v/>
      </c>
      <c r="K4" s="6" t="inlineStr">
        <is>
          <t>Matched - existing equivalency</t>
        </is>
      </c>
      <c r="L4" s="6" t="inlineStr">
        <is>
          <t>CAS EC 101</t>
        </is>
      </c>
      <c r="M4" s="6" t="n">
        <v>4</v>
      </c>
      <c r="N4" s="6" t="inlineStr">
        <is>
          <t>T</t>
        </is>
      </c>
      <c r="O4" s="6" t="inlineStr">
        <is>
          <t>EQ-CONTENT</t>
        </is>
      </c>
      <c r="P4" s="6" t="inlineStr"/>
      <c r="Q4" s="6" t="inlineStr">
        <is>
          <t>CAS EC 101</t>
        </is>
      </c>
      <c r="R4" s="6" t="n">
        <v>87</v>
      </c>
    </row>
    <row r="5">
      <c r="A5" s="6" t="inlineStr">
        <is>
          <t>L-004</t>
        </is>
      </c>
      <c r="B5" s="6" t="inlineStr">
        <is>
          <t>SYN-24001</t>
        </is>
      </c>
      <c r="C5" s="6" t="inlineStr">
        <is>
          <t>NYU</t>
        </is>
      </c>
      <c r="D5" s="6" t="inlineStr">
        <is>
          <t>Spring 2025</t>
        </is>
      </c>
      <c r="E5" s="6" t="inlineStr">
        <is>
          <t>PSYCH-UA 10</t>
        </is>
      </c>
      <c r="F5" s="6" t="inlineStr">
        <is>
          <t>Statistics for the Behavioral Sciences</t>
        </is>
      </c>
      <c r="G5" s="6" t="n">
        <v>4</v>
      </c>
      <c r="H5" s="6" t="inlineStr">
        <is>
          <t>Semester</t>
        </is>
      </c>
      <c r="I5" s="6" t="inlineStr">
        <is>
          <t>A</t>
        </is>
      </c>
      <c r="J5" s="6">
        <f>IF(H5="Quarter",ROUND(G5*2/3,2),G5)</f>
        <v/>
      </c>
      <c r="K5" s="3" t="inlineStr">
        <is>
          <t>Maybe - syllabus on file; AI tier: Evaluator decides (50-79%)</t>
        </is>
      </c>
      <c r="L5" s="6" t="inlineStr"/>
      <c r="M5" s="6" t="n">
        <v>0</v>
      </c>
      <c r="N5" s="6" t="inlineStr"/>
      <c r="O5" s="6" t="inlineStr">
        <is>
          <t>PD-REVIEW</t>
        </is>
      </c>
      <c r="P5" s="6" t="inlineStr"/>
      <c r="Q5" s="6" t="inlineStr">
        <is>
          <t>CAS PS 211</t>
        </is>
      </c>
      <c r="R5" s="6" t="n">
        <v>75</v>
      </c>
    </row>
    <row r="6">
      <c r="A6" s="6" t="inlineStr">
        <is>
          <t>L-005</t>
        </is>
      </c>
      <c r="B6" s="6" t="inlineStr">
        <is>
          <t>SYN-24001</t>
        </is>
      </c>
      <c r="C6" s="6" t="inlineStr">
        <is>
          <t>NYU</t>
        </is>
      </c>
      <c r="D6" s="6" t="inlineStr">
        <is>
          <t>Spring 2025</t>
        </is>
      </c>
      <c r="E6" s="6" t="inlineStr">
        <is>
          <t>PSYCH-UA 25</t>
        </is>
      </c>
      <c r="F6" s="6" t="inlineStr">
        <is>
          <t>Cognitive Neuroscience</t>
        </is>
      </c>
      <c r="G6" s="6" t="n">
        <v>4</v>
      </c>
      <c r="H6" s="6" t="inlineStr">
        <is>
          <t>Semester</t>
        </is>
      </c>
      <c r="I6" s="6" t="inlineStr">
        <is>
          <t>B+</t>
        </is>
      </c>
      <c r="J6" s="6">
        <f>IF(H6="Quarter",ROUND(G6*2/3,2),G6)</f>
        <v/>
      </c>
      <c r="K6" s="6" t="inlineStr">
        <is>
          <t>Maybe - syllabus requested (TS)</t>
        </is>
      </c>
      <c r="L6" s="6" t="inlineStr"/>
      <c r="M6" s="6" t="n">
        <v>0</v>
      </c>
      <c r="N6" s="6" t="inlineStr"/>
      <c r="O6" s="6" t="inlineStr">
        <is>
          <t>PD-TS</t>
        </is>
      </c>
      <c r="P6" s="6" t="inlineStr"/>
      <c r="Q6" s="6" t="inlineStr">
        <is>
          <t>CAS PS 231</t>
        </is>
      </c>
      <c r="R6" s="6" t="n">
        <v>62</v>
      </c>
    </row>
    <row r="7">
      <c r="A7" s="6" t="inlineStr">
        <is>
          <t>L-006</t>
        </is>
      </c>
      <c r="B7" s="6" t="inlineStr">
        <is>
          <t>SYN-24001</t>
        </is>
      </c>
      <c r="C7" s="6" t="inlineStr">
        <is>
          <t>PSC</t>
        </is>
      </c>
      <c r="D7" s="6" t="inlineStr">
        <is>
          <t>Summer 2025</t>
        </is>
      </c>
      <c r="E7" s="6" t="inlineStr">
        <is>
          <t>PSY 215</t>
        </is>
      </c>
      <c r="F7" s="6" t="inlineStr">
        <is>
          <t>Psychology of Music</t>
        </is>
      </c>
      <c r="G7" s="6" t="n">
        <v>4</v>
      </c>
      <c r="H7" s="6" t="inlineStr">
        <is>
          <t>Quarter</t>
        </is>
      </c>
      <c r="I7" s="6" t="inlineStr">
        <is>
          <t>B</t>
        </is>
      </c>
      <c r="J7" s="6">
        <f>IF(H7="Quarter",ROUND(G7*2/3,2),G7)</f>
        <v/>
      </c>
      <c r="K7" s="6" t="inlineStr">
        <is>
          <t>Matched - existing equivalency</t>
        </is>
      </c>
      <c r="L7" s="6" t="inlineStr">
        <is>
          <t>CAS PS 2TR</t>
        </is>
      </c>
      <c r="M7" s="6" t="n">
        <v>2.67</v>
      </c>
      <c r="N7" s="6" t="inlineStr">
        <is>
          <t>T</t>
        </is>
      </c>
      <c r="O7" s="6" t="inlineStr">
        <is>
          <t>EL-NOEQUIV</t>
        </is>
      </c>
      <c r="P7" s="6" t="inlineStr"/>
      <c r="Q7" s="6" t="inlineStr"/>
      <c r="R7" s="6" t="n"/>
    </row>
    <row r="8">
      <c r="A8" s="6" t="inlineStr">
        <is>
          <t>L-007</t>
        </is>
      </c>
      <c r="B8" s="6" t="inlineStr">
        <is>
          <t>SYN-24002</t>
        </is>
      </c>
      <c r="C8" s="6" t="inlineStr">
        <is>
          <t>NEU</t>
        </is>
      </c>
      <c r="D8" s="6" t="inlineStr">
        <is>
          <t>Fall 2019</t>
        </is>
      </c>
      <c r="E8" s="6" t="inlineStr">
        <is>
          <t>HIST 1130</t>
        </is>
      </c>
      <c r="F8" s="6" t="inlineStr">
        <is>
          <t>Introduction to World History</t>
        </is>
      </c>
      <c r="G8" s="6" t="n">
        <v>4</v>
      </c>
      <c r="H8" s="6" t="inlineStr">
        <is>
          <t>Semester</t>
        </is>
      </c>
      <c r="I8" s="6" t="inlineStr">
        <is>
          <t>B</t>
        </is>
      </c>
      <c r="J8" s="6">
        <f>IF(H8="Quarter",ROUND(G8*2/3,2),G8)</f>
        <v/>
      </c>
      <c r="K8" s="6" t="inlineStr">
        <is>
          <t>Pending - age review (5+ years old)</t>
        </is>
      </c>
      <c r="L8" s="6" t="inlineStr"/>
      <c r="M8" s="6" t="n">
        <v>0</v>
      </c>
      <c r="N8" s="6" t="inlineStr"/>
      <c r="O8" s="6" t="inlineStr">
        <is>
          <t>RV-AGE</t>
        </is>
      </c>
      <c r="P8" s="6" t="inlineStr"/>
      <c r="Q8" s="6" t="inlineStr"/>
      <c r="R8" s="6" t="n"/>
    </row>
    <row r="9">
      <c r="A9" s="6" t="inlineStr">
        <is>
          <t>L-008</t>
        </is>
      </c>
      <c r="B9" s="6" t="inlineStr">
        <is>
          <t>SYN-24002</t>
        </is>
      </c>
      <c r="C9" s="6" t="inlineStr">
        <is>
          <t>NEU</t>
        </is>
      </c>
      <c r="D9" s="6" t="inlineStr">
        <is>
          <t>Fall 2023</t>
        </is>
      </c>
      <c r="E9" s="6" t="inlineStr">
        <is>
          <t>CS 2000</t>
        </is>
      </c>
      <c r="F9" s="3" t="inlineStr">
        <is>
          <t>Introduction to Program Design and Implementation</t>
        </is>
      </c>
      <c r="G9" s="6" t="n">
        <v>5</v>
      </c>
      <c r="H9" s="6" t="inlineStr">
        <is>
          <t>Semester</t>
        </is>
      </c>
      <c r="I9" s="6" t="inlineStr">
        <is>
          <t>A</t>
        </is>
      </c>
      <c r="J9" s="6">
        <f>IF(H9="Quarter",ROUND(G9*2/3,2),G9)</f>
        <v/>
      </c>
      <c r="K9" s="6" t="inlineStr">
        <is>
          <t>Matched - existing equivalency</t>
        </is>
      </c>
      <c r="L9" s="6" t="inlineStr">
        <is>
          <t>CAS CS 111</t>
        </is>
      </c>
      <c r="M9" s="6" t="n">
        <v>5</v>
      </c>
      <c r="N9" s="6" t="inlineStr">
        <is>
          <t>T</t>
        </is>
      </c>
      <c r="O9" s="6" t="inlineStr">
        <is>
          <t>EQ-CONTENT</t>
        </is>
      </c>
      <c r="P9" s="6" t="inlineStr"/>
      <c r="Q9" s="6" t="inlineStr">
        <is>
          <t>CAS CS 111</t>
        </is>
      </c>
      <c r="R9" s="6" t="n">
        <v>87</v>
      </c>
    </row>
    <row r="10">
      <c r="A10" s="6" t="inlineStr">
        <is>
          <t>L-009</t>
        </is>
      </c>
      <c r="B10" s="6" t="inlineStr">
        <is>
          <t>SYN-24002</t>
        </is>
      </c>
      <c r="C10" s="6" t="inlineStr">
        <is>
          <t>NEU</t>
        </is>
      </c>
      <c r="D10" s="6" t="inlineStr">
        <is>
          <t>Fall 2023</t>
        </is>
      </c>
      <c r="E10" s="6" t="inlineStr">
        <is>
          <t>MATH 1341</t>
        </is>
      </c>
      <c r="F10" s="6" t="inlineStr">
        <is>
          <t>Calculus 1 for Science and Engineering</t>
        </is>
      </c>
      <c r="G10" s="6" t="n">
        <v>4</v>
      </c>
      <c r="H10" s="6" t="inlineStr">
        <is>
          <t>Semester</t>
        </is>
      </c>
      <c r="I10" s="6" t="inlineStr">
        <is>
          <t>C-</t>
        </is>
      </c>
      <c r="J10" s="6">
        <f>IF(H10="Quarter",ROUND(G10*2/3,2),G10)</f>
        <v/>
      </c>
      <c r="K10" s="6" t="inlineStr">
        <is>
          <t>Posted - no credit</t>
        </is>
      </c>
      <c r="L10" s="6" t="inlineStr">
        <is>
          <t>TFRGEN NOCRDT</t>
        </is>
      </c>
      <c r="M10" s="6" t="n">
        <v>0</v>
      </c>
      <c r="N10" s="6" t="inlineStr">
        <is>
          <t>TX</t>
        </is>
      </c>
      <c r="O10" s="6" t="inlineStr">
        <is>
          <t>NC-GRADE</t>
        </is>
      </c>
      <c r="P10" s="6" t="inlineStr"/>
      <c r="Q10" s="6" t="inlineStr">
        <is>
          <t>CAS MA 123</t>
        </is>
      </c>
      <c r="R10" s="6" t="n">
        <v>87</v>
      </c>
    </row>
    <row r="11">
      <c r="A11" s="6" t="inlineStr">
        <is>
          <t>L-010</t>
        </is>
      </c>
      <c r="B11" s="6" t="inlineStr">
        <is>
          <t>SYN-24002</t>
        </is>
      </c>
      <c r="C11" s="6" t="inlineStr">
        <is>
          <t>NEU</t>
        </is>
      </c>
      <c r="D11" s="6" t="inlineStr">
        <is>
          <t>Fall 2023</t>
        </is>
      </c>
      <c r="E11" s="6" t="inlineStr">
        <is>
          <t>MATH 0990</t>
        </is>
      </c>
      <c r="F11" s="6" t="inlineStr">
        <is>
          <t>Algebra Foundations (developmental)</t>
        </is>
      </c>
      <c r="G11" s="6" t="n">
        <v>4</v>
      </c>
      <c r="H11" s="6" t="inlineStr">
        <is>
          <t>Semester</t>
        </is>
      </c>
      <c r="I11" s="6" t="inlineStr">
        <is>
          <t>A</t>
        </is>
      </c>
      <c r="J11" s="6">
        <f>IF(H11="Quarter",ROUND(G11*2/3,2),G11)</f>
        <v/>
      </c>
      <c r="K11" s="6" t="inlineStr">
        <is>
          <t>Posted - no credit</t>
        </is>
      </c>
      <c r="L11" s="6" t="inlineStr">
        <is>
          <t>TFRGEN NOCRDT</t>
        </is>
      </c>
      <c r="M11" s="6" t="n">
        <v>0</v>
      </c>
      <c r="N11" s="6" t="inlineStr">
        <is>
          <t>TX</t>
        </is>
      </c>
      <c r="O11" s="6" t="inlineStr">
        <is>
          <t>NC-REMEDIAL</t>
        </is>
      </c>
      <c r="P11" s="6" t="inlineStr"/>
      <c r="Q11" s="6" t="inlineStr"/>
      <c r="R11" s="6" t="n"/>
    </row>
    <row r="12">
      <c r="A12" s="6" t="inlineStr">
        <is>
          <t>L-011</t>
        </is>
      </c>
      <c r="B12" s="6" t="inlineStr">
        <is>
          <t>SYN-24002</t>
        </is>
      </c>
      <c r="C12" s="6" t="inlineStr">
        <is>
          <t>NEU</t>
        </is>
      </c>
      <c r="D12" s="6" t="inlineStr">
        <is>
          <t>Fall 2023</t>
        </is>
      </c>
      <c r="E12" s="6" t="inlineStr">
        <is>
          <t>PE 1100</t>
        </is>
      </c>
      <c r="F12" s="6" t="inlineStr">
        <is>
          <t>Fitness Fundamentals</t>
        </is>
      </c>
      <c r="G12" s="6" t="n">
        <v>2</v>
      </c>
      <c r="H12" s="6" t="inlineStr">
        <is>
          <t>Semester</t>
        </is>
      </c>
      <c r="I12" s="6" t="inlineStr">
        <is>
          <t>P</t>
        </is>
      </c>
      <c r="J12" s="6">
        <f>IF(H12="Quarter",ROUND(G12*2/3,2),G12)</f>
        <v/>
      </c>
      <c r="K12" s="6" t="inlineStr">
        <is>
          <t>Posted - no credit</t>
        </is>
      </c>
      <c r="L12" s="6" t="inlineStr">
        <is>
          <t>TFRGEN NOCRDT</t>
        </is>
      </c>
      <c r="M12" s="6" t="n">
        <v>0</v>
      </c>
      <c r="N12" s="6" t="inlineStr">
        <is>
          <t>TX</t>
        </is>
      </c>
      <c r="O12" s="6" t="inlineStr">
        <is>
          <t>NC-PE</t>
        </is>
      </c>
      <c r="P12" s="6" t="inlineStr"/>
      <c r="Q12" s="6" t="inlineStr"/>
      <c r="R12" s="6" t="n"/>
    </row>
    <row r="13">
      <c r="A13" s="6" t="inlineStr">
        <is>
          <t>L-012</t>
        </is>
      </c>
      <c r="B13" s="6" t="inlineStr">
        <is>
          <t>SYN-24002</t>
        </is>
      </c>
      <c r="C13" s="6" t="inlineStr">
        <is>
          <t>NEU</t>
        </is>
      </c>
      <c r="D13" s="6" t="inlineStr">
        <is>
          <t>Fall 2023</t>
        </is>
      </c>
      <c r="E13" s="6" t="inlineStr">
        <is>
          <t>FYS 1000</t>
        </is>
      </c>
      <c r="F13" s="6" t="inlineStr">
        <is>
          <t>First-Year Seminar</t>
        </is>
      </c>
      <c r="G13" s="6" t="n">
        <v>1</v>
      </c>
      <c r="H13" s="6" t="inlineStr">
        <is>
          <t>Semester</t>
        </is>
      </c>
      <c r="I13" s="6" t="inlineStr">
        <is>
          <t>A</t>
        </is>
      </c>
      <c r="J13" s="6">
        <f>IF(H13="Quarter",ROUND(G13*2/3,2),G13)</f>
        <v/>
      </c>
      <c r="K13" s="6" t="inlineStr">
        <is>
          <t>Posted - no credit</t>
        </is>
      </c>
      <c r="L13" s="6" t="inlineStr">
        <is>
          <t>TFRGEN NOCRDT</t>
        </is>
      </c>
      <c r="M13" s="6" t="n">
        <v>0</v>
      </c>
      <c r="N13" s="6" t="inlineStr">
        <is>
          <t>TX</t>
        </is>
      </c>
      <c r="O13" s="6" t="inlineStr">
        <is>
          <t>NC-ONECREDIT</t>
        </is>
      </c>
      <c r="P13" s="6" t="inlineStr"/>
      <c r="Q13" s="6" t="inlineStr"/>
      <c r="R13" s="6" t="n"/>
    </row>
    <row r="14">
      <c r="A14" s="6" t="inlineStr">
        <is>
          <t>L-013</t>
        </is>
      </c>
      <c r="B14" s="6" t="inlineStr">
        <is>
          <t>SYN-24002</t>
        </is>
      </c>
      <c r="C14" s="6" t="inlineStr">
        <is>
          <t>NEU</t>
        </is>
      </c>
      <c r="D14" s="6" t="inlineStr">
        <is>
          <t>Spring 2024</t>
        </is>
      </c>
      <c r="E14" s="6" t="inlineStr">
        <is>
          <t>CS 2100</t>
        </is>
      </c>
      <c r="F14" s="6" t="inlineStr">
        <is>
          <t>Program Design and Implementation 1</t>
        </is>
      </c>
      <c r="G14" s="6" t="n">
        <v>5</v>
      </c>
      <c r="H14" s="6" t="inlineStr">
        <is>
          <t>Semester</t>
        </is>
      </c>
      <c r="I14" s="6" t="inlineStr">
        <is>
          <t>B+</t>
        </is>
      </c>
      <c r="J14" s="6">
        <f>IF(H14="Quarter",ROUND(G14*2/3,2),G14)</f>
        <v/>
      </c>
      <c r="K14" s="3" t="inlineStr">
        <is>
          <t>Maybe - syllabus on file; AI tier: Evaluator decides (50-79%)</t>
        </is>
      </c>
      <c r="L14" s="6" t="inlineStr"/>
      <c r="M14" s="6" t="n">
        <v>0</v>
      </c>
      <c r="N14" s="6" t="inlineStr"/>
      <c r="O14" s="6" t="inlineStr">
        <is>
          <t>PD-REVIEW</t>
        </is>
      </c>
      <c r="P14" s="6" t="inlineStr"/>
      <c r="Q14" s="6" t="inlineStr">
        <is>
          <t>CAS CS 112</t>
        </is>
      </c>
      <c r="R14" s="6" t="n">
        <v>62</v>
      </c>
    </row>
    <row r="15">
      <c r="A15" s="6" t="inlineStr">
        <is>
          <t>L-014</t>
        </is>
      </c>
      <c r="B15" s="6" t="inlineStr">
        <is>
          <t>SYN-24002</t>
        </is>
      </c>
      <c r="C15" s="6" t="inlineStr">
        <is>
          <t>NEU</t>
        </is>
      </c>
      <c r="D15" s="6" t="inlineStr">
        <is>
          <t>Spring 2024</t>
        </is>
      </c>
      <c r="E15" s="6" t="inlineStr">
        <is>
          <t>CS 1800</t>
        </is>
      </c>
      <c r="F15" s="6" t="inlineStr">
        <is>
          <t>Discrete Structures</t>
        </is>
      </c>
      <c r="G15" s="6" t="n">
        <v>4</v>
      </c>
      <c r="H15" s="6" t="inlineStr">
        <is>
          <t>Semester</t>
        </is>
      </c>
      <c r="I15" s="6" t="inlineStr">
        <is>
          <t>B</t>
        </is>
      </c>
      <c r="J15" s="6">
        <f>IF(H15="Quarter",ROUND(G15*2/3,2),G15)</f>
        <v/>
      </c>
      <c r="K15" s="6" t="inlineStr">
        <is>
          <t>Matched - existing equivalency</t>
        </is>
      </c>
      <c r="L15" s="6" t="inlineStr">
        <is>
          <t>CAS CS 131</t>
        </is>
      </c>
      <c r="M15" s="6" t="n">
        <v>4</v>
      </c>
      <c r="N15" s="6" t="inlineStr">
        <is>
          <t>T</t>
        </is>
      </c>
      <c r="O15" s="6" t="inlineStr">
        <is>
          <t>EQ-CONTENT</t>
        </is>
      </c>
      <c r="P15" s="6" t="inlineStr"/>
      <c r="Q15" s="6" t="inlineStr">
        <is>
          <t>CAS CS 131</t>
        </is>
      </c>
      <c r="R15" s="6" t="n">
        <v>87</v>
      </c>
    </row>
    <row r="16">
      <c r="A16" s="6" t="inlineStr">
        <is>
          <t>L-015</t>
        </is>
      </c>
      <c r="B16" s="6" t="inlineStr">
        <is>
          <t>SYN-24002</t>
        </is>
      </c>
      <c r="C16" s="6" t="inlineStr">
        <is>
          <t>NEU</t>
        </is>
      </c>
      <c r="D16" s="6" t="inlineStr">
        <is>
          <t>Spring 2024</t>
        </is>
      </c>
      <c r="E16" s="6" t="inlineStr">
        <is>
          <t>CS 1990</t>
        </is>
      </c>
      <c r="F16" s="6" t="inlineStr">
        <is>
          <t>Introduction to Programming in Python</t>
        </is>
      </c>
      <c r="G16" s="6" t="n">
        <v>4</v>
      </c>
      <c r="H16" s="6" t="inlineStr">
        <is>
          <t>Semester</t>
        </is>
      </c>
      <c r="I16" s="6" t="inlineStr">
        <is>
          <t>A-</t>
        </is>
      </c>
      <c r="J16" s="6">
        <f>IF(H16="Quarter",ROUND(G16*2/3,2),G16)</f>
        <v/>
      </c>
      <c r="K16" s="6" t="inlineStr">
        <is>
          <t>Matched - existing equivalency</t>
        </is>
      </c>
      <c r="L16" s="6" t="inlineStr">
        <is>
          <t>CAS CS 1TR</t>
        </is>
      </c>
      <c r="M16" s="6" t="n">
        <v>4</v>
      </c>
      <c r="N16" s="6" t="inlineStr">
        <is>
          <t>T</t>
        </is>
      </c>
      <c r="O16" s="6" t="inlineStr">
        <is>
          <t>EL-DUPLICATE</t>
        </is>
      </c>
      <c r="P16" s="6" t="inlineStr"/>
      <c r="Q16" s="6" t="inlineStr">
        <is>
          <t>CAS CS 111</t>
        </is>
      </c>
      <c r="R16" s="6" t="n">
        <v>75</v>
      </c>
    </row>
    <row r="17">
      <c r="A17" s="6" t="inlineStr">
        <is>
          <t>L-016</t>
        </is>
      </c>
      <c r="B17" s="6" t="inlineStr">
        <is>
          <t>SYN-24002</t>
        </is>
      </c>
      <c r="C17" s="6" t="inlineStr">
        <is>
          <t>NEU</t>
        </is>
      </c>
      <c r="D17" s="6" t="inlineStr">
        <is>
          <t>Spring 2024</t>
        </is>
      </c>
      <c r="E17" s="6" t="inlineStr">
        <is>
          <t>FILM 1101</t>
        </is>
      </c>
      <c r="F17" s="6" t="inlineStr">
        <is>
          <t>Film Analysis</t>
        </is>
      </c>
      <c r="G17" s="6" t="n">
        <v>4</v>
      </c>
      <c r="H17" s="6" t="inlineStr">
        <is>
          <t>Semester</t>
        </is>
      </c>
      <c r="I17" s="6" t="inlineStr">
        <is>
          <t>P</t>
        </is>
      </c>
      <c r="J17" s="6">
        <f>IF(H17="Quarter",ROUND(G17*2/3,2),G17)</f>
        <v/>
      </c>
      <c r="K17" s="6" t="inlineStr">
        <is>
          <t>Posted - no credit</t>
        </is>
      </c>
      <c r="L17" s="6" t="inlineStr">
        <is>
          <t>TFRGEN NOCRDT</t>
        </is>
      </c>
      <c r="M17" s="6" t="n">
        <v>0</v>
      </c>
      <c r="N17" s="6" t="inlineStr">
        <is>
          <t>TX</t>
        </is>
      </c>
      <c r="O17" s="6" t="inlineStr">
        <is>
          <t>NC-PASSFAIL</t>
        </is>
      </c>
      <c r="P17" s="6" t="inlineStr"/>
      <c r="Q17" s="6" t="inlineStr"/>
      <c r="R17" s="6" t="n"/>
    </row>
    <row r="18">
      <c r="A18" s="6" t="inlineStr">
        <is>
          <t>L-017</t>
        </is>
      </c>
      <c r="B18" s="6" t="inlineStr">
        <is>
          <t>SYN-24002</t>
        </is>
      </c>
      <c r="C18" s="6" t="inlineStr">
        <is>
          <t>NEU</t>
        </is>
      </c>
      <c r="D18" s="6" t="inlineStr">
        <is>
          <t>Fall 2024</t>
        </is>
      </c>
      <c r="E18" s="6" t="inlineStr">
        <is>
          <t>CS 2700</t>
        </is>
      </c>
      <c r="F18" s="6" t="inlineStr">
        <is>
          <t>Data Structures and Analysis</t>
        </is>
      </c>
      <c r="G18" s="6" t="n">
        <v>5</v>
      </c>
      <c r="H18" s="6" t="inlineStr">
        <is>
          <t>Semester</t>
        </is>
      </c>
      <c r="I18" s="6" t="inlineStr">
        <is>
          <t>B</t>
        </is>
      </c>
      <c r="J18" s="6">
        <f>IF(H18="Quarter",ROUND(G18*2/3,2),G18)</f>
        <v/>
      </c>
      <c r="K18" s="6" t="inlineStr">
        <is>
          <t>Maybe - syllabus incomplete (TM request)</t>
        </is>
      </c>
      <c r="L18" s="6" t="inlineStr"/>
      <c r="M18" s="6" t="n">
        <v>0</v>
      </c>
      <c r="N18" s="6" t="inlineStr"/>
      <c r="O18" s="6" t="inlineStr">
        <is>
          <t>PD-TM</t>
        </is>
      </c>
      <c r="P18" s="6" t="inlineStr"/>
      <c r="Q18" s="6" t="inlineStr">
        <is>
          <t>CAS CS 112</t>
        </is>
      </c>
      <c r="R18" s="6" t="n">
        <v>75</v>
      </c>
    </row>
    <row r="19">
      <c r="A19" s="6" t="inlineStr">
        <is>
          <t>L-018</t>
        </is>
      </c>
      <c r="B19" s="6" t="inlineStr">
        <is>
          <t>SYN-24002</t>
        </is>
      </c>
      <c r="C19" s="6" t="inlineStr">
        <is>
          <t>NEU</t>
        </is>
      </c>
      <c r="D19" s="6" t="inlineStr">
        <is>
          <t>Fall 2024</t>
        </is>
      </c>
      <c r="E19" s="6" t="inlineStr">
        <is>
          <t>CS 3650</t>
        </is>
      </c>
      <c r="F19" s="6" t="inlineStr">
        <is>
          <t>Computer Systems</t>
        </is>
      </c>
      <c r="G19" s="6" t="n">
        <v>4</v>
      </c>
      <c r="H19" s="6" t="inlineStr">
        <is>
          <t>Semester</t>
        </is>
      </c>
      <c r="I19" s="6" t="inlineStr">
        <is>
          <t>B</t>
        </is>
      </c>
      <c r="J19" s="6">
        <f>IF(H19="Quarter",ROUND(G19*2/3,2),G19)</f>
        <v/>
      </c>
      <c r="K19" s="6" t="inlineStr">
        <is>
          <t>Matched - existing equivalency</t>
        </is>
      </c>
      <c r="L19" s="6" t="inlineStr">
        <is>
          <t>CAS CS 210</t>
        </is>
      </c>
      <c r="M19" s="6" t="n">
        <v>4</v>
      </c>
      <c r="N19" s="6" t="inlineStr">
        <is>
          <t>T</t>
        </is>
      </c>
      <c r="O19" s="6" t="inlineStr">
        <is>
          <t>EQ-CONTENT</t>
        </is>
      </c>
      <c r="P19" s="6" t="inlineStr"/>
      <c r="Q19" s="6" t="inlineStr">
        <is>
          <t>CAS CS 210</t>
        </is>
      </c>
      <c r="R19" s="6" t="n">
        <v>100</v>
      </c>
    </row>
    <row r="20">
      <c r="A20" s="6" t="inlineStr">
        <is>
          <t>L-019</t>
        </is>
      </c>
      <c r="B20" s="6" t="inlineStr">
        <is>
          <t>SYN-24002</t>
        </is>
      </c>
      <c r="C20" s="6" t="inlineStr">
        <is>
          <t>NEU</t>
        </is>
      </c>
      <c r="D20" s="6" t="inlineStr">
        <is>
          <t>Fall 2024</t>
        </is>
      </c>
      <c r="E20" s="6" t="inlineStr">
        <is>
          <t>CS 4400</t>
        </is>
      </c>
      <c r="F20" s="6" t="inlineStr">
        <is>
          <t>Programming Languages</t>
        </is>
      </c>
      <c r="G20" s="6" t="n">
        <v>4</v>
      </c>
      <c r="H20" s="6" t="inlineStr">
        <is>
          <t>Semester</t>
        </is>
      </c>
      <c r="I20" s="6" t="inlineStr">
        <is>
          <t>A-</t>
        </is>
      </c>
      <c r="J20" s="6">
        <f>IF(H20="Quarter",ROUND(G20*2/3,2),G20)</f>
        <v/>
      </c>
      <c r="K20" s="6" t="inlineStr">
        <is>
          <t>Matched - existing equivalency</t>
        </is>
      </c>
      <c r="L20" s="6" t="inlineStr">
        <is>
          <t>CAS CS 2TR</t>
        </is>
      </c>
      <c r="M20" s="6" t="n">
        <v>4</v>
      </c>
      <c r="N20" s="6" t="inlineStr">
        <is>
          <t>T</t>
        </is>
      </c>
      <c r="O20" s="6" t="inlineStr">
        <is>
          <t>EL-RESIDENCY</t>
        </is>
      </c>
      <c r="P20" s="6" t="inlineStr"/>
      <c r="Q20" s="6" t="inlineStr">
        <is>
          <t>CAS CS 320</t>
        </is>
      </c>
      <c r="R20" s="6" t="n">
        <v>100</v>
      </c>
    </row>
    <row r="21">
      <c r="A21" s="6" t="inlineStr">
        <is>
          <t>L-020</t>
        </is>
      </c>
      <c r="B21" s="6" t="inlineStr">
        <is>
          <t>SYN-24002</t>
        </is>
      </c>
      <c r="C21" s="6" t="inlineStr">
        <is>
          <t>NEU</t>
        </is>
      </c>
      <c r="D21" s="6" t="inlineStr">
        <is>
          <t>Fall 2024</t>
        </is>
      </c>
      <c r="E21" s="6" t="inlineStr">
        <is>
          <t>MATH 2331</t>
        </is>
      </c>
      <c r="F21" s="6" t="inlineStr">
        <is>
          <t>Linear Algebra</t>
        </is>
      </c>
      <c r="G21" s="6" t="n">
        <v>4</v>
      </c>
      <c r="H21" s="6" t="inlineStr">
        <is>
          <t>Semester</t>
        </is>
      </c>
      <c r="I21" s="6" t="inlineStr">
        <is>
          <t>B+</t>
        </is>
      </c>
      <c r="J21" s="6">
        <f>IF(H21="Quarter",ROUND(G21*2/3,2),G21)</f>
        <v/>
      </c>
      <c r="K21" s="6" t="inlineStr">
        <is>
          <t>Matched - existing equivalency</t>
        </is>
      </c>
      <c r="L21" s="6" t="inlineStr">
        <is>
          <t>CAS MA 242</t>
        </is>
      </c>
      <c r="M21" s="6" t="n">
        <v>4</v>
      </c>
      <c r="N21" s="6" t="inlineStr">
        <is>
          <t>T</t>
        </is>
      </c>
      <c r="O21" s="6" t="inlineStr">
        <is>
          <t>EQ-CONTENT</t>
        </is>
      </c>
      <c r="P21" s="6" t="inlineStr"/>
      <c r="Q21" s="6" t="inlineStr">
        <is>
          <t>CAS MA 242</t>
        </is>
      </c>
      <c r="R21" s="6" t="n">
        <v>100</v>
      </c>
    </row>
    <row r="22">
      <c r="A22" s="6" t="inlineStr">
        <is>
          <t>L-021</t>
        </is>
      </c>
      <c r="B22" s="6" t="inlineStr">
        <is>
          <t>SYN-24003</t>
        </is>
      </c>
      <c r="C22" s="6" t="inlineStr">
        <is>
          <t>NEU</t>
        </is>
      </c>
      <c r="D22" s="6" t="inlineStr">
        <is>
          <t>Fall 2024</t>
        </is>
      </c>
      <c r="E22" s="6" t="inlineStr">
        <is>
          <t>BIOL 1107</t>
        </is>
      </c>
      <c r="F22" s="6" t="inlineStr">
        <is>
          <t>Foundations of Biology</t>
        </is>
      </c>
      <c r="G22" s="6" t="n">
        <v>5</v>
      </c>
      <c r="H22" s="6" t="inlineStr">
        <is>
          <t>Semester</t>
        </is>
      </c>
      <c r="I22" s="6" t="inlineStr">
        <is>
          <t>A</t>
        </is>
      </c>
      <c r="J22" s="6">
        <f>IF(H22="Quarter",ROUND(G22*2/3,2),G22)</f>
        <v/>
      </c>
      <c r="K22" s="6" t="inlineStr">
        <is>
          <t>Matched - existing equivalency</t>
        </is>
      </c>
      <c r="L22" s="6" t="inlineStr">
        <is>
          <t>CAS BI 107</t>
        </is>
      </c>
      <c r="M22" s="6" t="n">
        <v>5</v>
      </c>
      <c r="N22" s="6" t="inlineStr">
        <is>
          <t>T</t>
        </is>
      </c>
      <c r="O22" s="6" t="inlineStr">
        <is>
          <t>EQ-CONTENT</t>
        </is>
      </c>
      <c r="P22" s="6" t="inlineStr"/>
      <c r="Q22" s="6" t="inlineStr">
        <is>
          <t>CAS BI 107</t>
        </is>
      </c>
      <c r="R22" s="6" t="n">
        <v>87</v>
      </c>
    </row>
    <row r="23">
      <c r="A23" s="6" t="inlineStr">
        <is>
          <t>L-022</t>
        </is>
      </c>
      <c r="B23" s="6" t="inlineStr">
        <is>
          <t>SYN-24003</t>
        </is>
      </c>
      <c r="C23" s="6" t="inlineStr">
        <is>
          <t>NEU</t>
        </is>
      </c>
      <c r="D23" s="6" t="inlineStr">
        <is>
          <t>Fall 2024</t>
        </is>
      </c>
      <c r="E23" s="6" t="inlineStr">
        <is>
          <t>CHEM 1161</t>
        </is>
      </c>
      <c r="F23" s="6" t="inlineStr">
        <is>
          <t>General Chemistry for Science Majors</t>
        </is>
      </c>
      <c r="G23" s="6" t="n">
        <v>5</v>
      </c>
      <c r="H23" s="6" t="inlineStr">
        <is>
          <t>Semester</t>
        </is>
      </c>
      <c r="I23" s="6" t="inlineStr">
        <is>
          <t>B+</t>
        </is>
      </c>
      <c r="J23" s="6">
        <f>IF(H23="Quarter",ROUND(G23*2/3,2),G23)</f>
        <v/>
      </c>
      <c r="K23" s="3" t="inlineStr">
        <is>
          <t>Maybe - syllabus on file; AI tier: Evaluator decides (50-79%)</t>
        </is>
      </c>
      <c r="L23" s="6" t="inlineStr"/>
      <c r="M23" s="6" t="n">
        <v>0</v>
      </c>
      <c r="N23" s="6" t="inlineStr"/>
      <c r="O23" s="6" t="inlineStr">
        <is>
          <t>PD-REVIEW</t>
        </is>
      </c>
      <c r="P23" s="6" t="inlineStr"/>
      <c r="Q23" s="6" t="inlineStr">
        <is>
          <t>CAS CH 101</t>
        </is>
      </c>
      <c r="R23" s="6" t="n">
        <v>62</v>
      </c>
    </row>
    <row r="24">
      <c r="A24" s="6" t="inlineStr">
        <is>
          <t>L-023</t>
        </is>
      </c>
      <c r="B24" s="6" t="inlineStr">
        <is>
          <t>SYN-24003</t>
        </is>
      </c>
      <c r="C24" s="6" t="inlineStr">
        <is>
          <t>NEU</t>
        </is>
      </c>
      <c r="D24" s="6" t="inlineStr">
        <is>
          <t>Fall 2024</t>
        </is>
      </c>
      <c r="E24" s="6" t="inlineStr">
        <is>
          <t>ENGW 1111</t>
        </is>
      </c>
      <c r="F24" s="6" t="inlineStr">
        <is>
          <t>First-Year Writing</t>
        </is>
      </c>
      <c r="G24" s="6" t="n">
        <v>4</v>
      </c>
      <c r="H24" s="6" t="inlineStr">
        <is>
          <t>Semester</t>
        </is>
      </c>
      <c r="I24" s="6" t="inlineStr">
        <is>
          <t>A-</t>
        </is>
      </c>
      <c r="J24" s="6">
        <f>IF(H24="Quarter",ROUND(G24*2/3,2),G24)</f>
        <v/>
      </c>
      <c r="K24" s="6" t="inlineStr">
        <is>
          <t>Matched - existing equivalency</t>
        </is>
      </c>
      <c r="L24" s="6" t="inlineStr">
        <is>
          <t>TFRGEN 1TR</t>
        </is>
      </c>
      <c r="M24" s="6" t="n">
        <v>4</v>
      </c>
      <c r="N24" s="6" t="inlineStr">
        <is>
          <t>T</t>
        </is>
      </c>
      <c r="O24" s="6" t="inlineStr">
        <is>
          <t>EL-NOEQUIV</t>
        </is>
      </c>
      <c r="P24" s="6" t="inlineStr"/>
      <c r="Q24" s="6" t="inlineStr"/>
      <c r="R24" s="6" t="n"/>
    </row>
    <row r="25">
      <c r="A25" s="6" t="inlineStr">
        <is>
          <t>L-024</t>
        </is>
      </c>
      <c r="B25" s="6" t="inlineStr">
        <is>
          <t>SYN-24003</t>
        </is>
      </c>
      <c r="C25" s="6" t="inlineStr">
        <is>
          <t>NEU</t>
        </is>
      </c>
      <c r="D25" s="6" t="inlineStr">
        <is>
          <t>Spring 2025</t>
        </is>
      </c>
      <c r="E25" s="6" t="inlineStr">
        <is>
          <t>BIOL 1113</t>
        </is>
      </c>
      <c r="F25" s="6" t="inlineStr">
        <is>
          <t>General Biology 2</t>
        </is>
      </c>
      <c r="G25" s="6" t="n">
        <v>4</v>
      </c>
      <c r="H25" s="6" t="inlineStr">
        <is>
          <t>Semester</t>
        </is>
      </c>
      <c r="I25" s="6" t="inlineStr">
        <is>
          <t>B+</t>
        </is>
      </c>
      <c r="J25" s="6">
        <f>IF(H25="Quarter",ROUND(G25*2/3,2),G25)</f>
        <v/>
      </c>
      <c r="K25" s="6" t="inlineStr">
        <is>
          <t>Matched - existing equivalency</t>
        </is>
      </c>
      <c r="L25" s="6" t="inlineStr">
        <is>
          <t>CAS BI 108</t>
        </is>
      </c>
      <c r="M25" s="6" t="n">
        <v>4</v>
      </c>
      <c r="N25" s="6" t="inlineStr">
        <is>
          <t>T</t>
        </is>
      </c>
      <c r="O25" s="6" t="inlineStr">
        <is>
          <t>EQ-CONTENT</t>
        </is>
      </c>
      <c r="P25" s="6" t="inlineStr"/>
      <c r="Q25" s="6" t="inlineStr">
        <is>
          <t>CAS BI 108</t>
        </is>
      </c>
      <c r="R25" s="6" t="n">
        <v>100</v>
      </c>
    </row>
    <row r="26">
      <c r="A26" s="6" t="inlineStr">
        <is>
          <t>L-025</t>
        </is>
      </c>
      <c r="B26" s="6" t="inlineStr">
        <is>
          <t>SYN-24003</t>
        </is>
      </c>
      <c r="C26" s="6" t="inlineStr">
        <is>
          <t>NEU</t>
        </is>
      </c>
      <c r="D26" s="6" t="inlineStr">
        <is>
          <t>Spring 2025</t>
        </is>
      </c>
      <c r="E26" s="6" t="inlineStr">
        <is>
          <t>MATH 1341</t>
        </is>
      </c>
      <c r="F26" s="6" t="inlineStr">
        <is>
          <t>Calculus 1 for Science and Engineering</t>
        </is>
      </c>
      <c r="G26" s="6" t="n">
        <v>4</v>
      </c>
      <c r="H26" s="6" t="inlineStr">
        <is>
          <t>Semester</t>
        </is>
      </c>
      <c r="I26" s="6" t="inlineStr">
        <is>
          <t>A</t>
        </is>
      </c>
      <c r="J26" s="6">
        <f>IF(H26="Quarter",ROUND(G26*2/3,2),G26)</f>
        <v/>
      </c>
      <c r="K26" s="6" t="inlineStr">
        <is>
          <t>Matched - existing equivalency</t>
        </is>
      </c>
      <c r="L26" s="6" t="inlineStr">
        <is>
          <t>CAS MA 123</t>
        </is>
      </c>
      <c r="M26" s="6" t="n">
        <v>4</v>
      </c>
      <c r="N26" s="6" t="inlineStr">
        <is>
          <t>T</t>
        </is>
      </c>
      <c r="O26" s="6" t="inlineStr">
        <is>
          <t>EQ-CONTENT</t>
        </is>
      </c>
      <c r="P26" s="6" t="inlineStr"/>
      <c r="Q26" s="6" t="inlineStr">
        <is>
          <t>CAS MA 123</t>
        </is>
      </c>
      <c r="R26" s="6" t="n">
        <v>87</v>
      </c>
    </row>
    <row r="27">
      <c r="A27" s="6" t="inlineStr">
        <is>
          <t>L-026</t>
        </is>
      </c>
      <c r="B27" s="6" t="inlineStr">
        <is>
          <t>SYN-24003</t>
        </is>
      </c>
      <c r="C27" s="6" t="inlineStr">
        <is>
          <t>NEU</t>
        </is>
      </c>
      <c r="D27" s="6" t="inlineStr">
        <is>
          <t>Spring 2025</t>
        </is>
      </c>
      <c r="E27" s="6" t="inlineStr">
        <is>
          <t>BIOL 2299</t>
        </is>
      </c>
      <c r="F27" s="6" t="inlineStr">
        <is>
          <t>Inquiries in Biological Sciences</t>
        </is>
      </c>
      <c r="G27" s="6" t="n">
        <v>4</v>
      </c>
      <c r="H27" s="6" t="inlineStr">
        <is>
          <t>Semester</t>
        </is>
      </c>
      <c r="I27" s="6" t="inlineStr">
        <is>
          <t>B</t>
        </is>
      </c>
      <c r="J27" s="6">
        <f>IF(H27="Quarter",ROUND(G27*2/3,2),G27)</f>
        <v/>
      </c>
      <c r="K27" s="3" t="inlineStr">
        <is>
          <t>Maybe - syllabus on file; AI tier: Elective (&lt;50%)</t>
        </is>
      </c>
      <c r="L27" s="6" t="inlineStr"/>
      <c r="M27" s="6" t="n">
        <v>0</v>
      </c>
      <c r="N27" s="6" t="inlineStr"/>
      <c r="O27" s="6" t="inlineStr">
        <is>
          <t>PD-REVIEW</t>
        </is>
      </c>
      <c r="P27" s="6" t="inlineStr"/>
      <c r="Q27" s="6" t="inlineStr">
        <is>
          <t>CAS BI 107</t>
        </is>
      </c>
      <c r="R27" s="6" t="n">
        <v>37</v>
      </c>
    </row>
    <row r="28">
      <c r="A28" s="6" t="inlineStr">
        <is>
          <t>L-027</t>
        </is>
      </c>
      <c r="B28" s="6" t="inlineStr">
        <is>
          <t>SYN-24003</t>
        </is>
      </c>
      <c r="C28" s="6" t="inlineStr">
        <is>
          <t>NEU</t>
        </is>
      </c>
      <c r="D28" s="6" t="inlineStr">
        <is>
          <t>Fall 2025</t>
        </is>
      </c>
      <c r="E28" s="6" t="inlineStr">
        <is>
          <t>BIOL 2301</t>
        </is>
      </c>
      <c r="F28" s="6" t="inlineStr">
        <is>
          <t>Genetics and Molecular Biology</t>
        </is>
      </c>
      <c r="G28" s="6" t="n">
        <v>5</v>
      </c>
      <c r="H28" s="6" t="inlineStr">
        <is>
          <t>Semester</t>
        </is>
      </c>
      <c r="I28" s="6" t="inlineStr">
        <is>
          <t>B+</t>
        </is>
      </c>
      <c r="J28" s="6">
        <f>IF(H28="Quarter",ROUND(G28*2/3,2),G28)</f>
        <v/>
      </c>
      <c r="K28" s="3" t="inlineStr">
        <is>
          <t>Maybe - syllabus on file; AI tier: Evaluator decides (50-79%)</t>
        </is>
      </c>
      <c r="L28" s="6" t="inlineStr"/>
      <c r="M28" s="6" t="n">
        <v>0</v>
      </c>
      <c r="N28" s="6" t="inlineStr"/>
      <c r="O28" s="6" t="inlineStr">
        <is>
          <t>PD-REVIEW</t>
        </is>
      </c>
      <c r="P28" s="6" t="inlineStr"/>
      <c r="Q28" s="6" t="inlineStr">
        <is>
          <t>CAS BI 206</t>
        </is>
      </c>
      <c r="R28" s="6" t="n">
        <v>75</v>
      </c>
    </row>
    <row r="29">
      <c r="A29" s="6" t="inlineStr">
        <is>
          <t>L-028</t>
        </is>
      </c>
      <c r="B29" s="6" t="inlineStr">
        <is>
          <t>SYN-24003</t>
        </is>
      </c>
      <c r="C29" s="6" t="inlineStr">
        <is>
          <t>NEU</t>
        </is>
      </c>
      <c r="D29" s="6" t="inlineStr">
        <is>
          <t>Fall 2025</t>
        </is>
      </c>
      <c r="E29" s="6" t="inlineStr">
        <is>
          <t>CHEM 2311</t>
        </is>
      </c>
      <c r="F29" s="6" t="inlineStr">
        <is>
          <t>Organic Chemistry 1</t>
        </is>
      </c>
      <c r="G29" s="6" t="n">
        <v>5</v>
      </c>
      <c r="H29" s="6" t="inlineStr">
        <is>
          <t>Semester</t>
        </is>
      </c>
      <c r="I29" s="6" t="inlineStr">
        <is>
          <t>C+</t>
        </is>
      </c>
      <c r="J29" s="6">
        <f>IF(H29="Quarter",ROUND(G29*2/3,2),G29)</f>
        <v/>
      </c>
      <c r="K29" s="6" t="inlineStr">
        <is>
          <t>Maybe - syllabus requested (TS)</t>
        </is>
      </c>
      <c r="L29" s="6" t="inlineStr"/>
      <c r="M29" s="6" t="n">
        <v>0</v>
      </c>
      <c r="N29" s="6" t="inlineStr"/>
      <c r="O29" s="6" t="inlineStr">
        <is>
          <t>PD-TS</t>
        </is>
      </c>
      <c r="P29" s="6" t="inlineStr"/>
      <c r="Q29" s="6" t="inlineStr">
        <is>
          <t>CAS CH 203</t>
        </is>
      </c>
      <c r="R29" s="6" t="n">
        <v>87</v>
      </c>
    </row>
    <row r="30">
      <c r="A30" s="6" t="inlineStr">
        <is>
          <t>L-029</t>
        </is>
      </c>
      <c r="B30" s="6" t="inlineStr">
        <is>
          <t>SYN-24003</t>
        </is>
      </c>
      <c r="C30" s="6" t="inlineStr">
        <is>
          <t>NEU</t>
        </is>
      </c>
      <c r="D30" s="6" t="inlineStr">
        <is>
          <t>Fall 2025</t>
        </is>
      </c>
      <c r="E30" s="6" t="inlineStr">
        <is>
          <t>BIOL 2703</t>
        </is>
      </c>
      <c r="F30" s="6" t="inlineStr">
        <is>
          <t>Microbiology</t>
        </is>
      </c>
      <c r="G30" s="6" t="n">
        <v>5</v>
      </c>
      <c r="H30" s="6" t="inlineStr">
        <is>
          <t>Semester</t>
        </is>
      </c>
      <c r="I30" s="6" t="inlineStr">
        <is>
          <t>A-</t>
        </is>
      </c>
      <c r="J30" s="6">
        <f>IF(H30="Quarter",ROUND(G30*2/3,2),G30)</f>
        <v/>
      </c>
      <c r="K30" s="6" t="inlineStr">
        <is>
          <t>Matched - existing equivalency</t>
        </is>
      </c>
      <c r="L30" s="6" t="inlineStr">
        <is>
          <t>CAS BI 2TR</t>
        </is>
      </c>
      <c r="M30" s="6" t="n">
        <v>5</v>
      </c>
      <c r="N30" s="6" t="inlineStr">
        <is>
          <t>T</t>
        </is>
      </c>
      <c r="O30" s="6" t="inlineStr">
        <is>
          <t>EL-PARTIAL</t>
        </is>
      </c>
      <c r="P30" s="3" t="inlineStr">
        <is>
          <t>CONFLICT: same catalog year, different decisions -&gt; flag for department</t>
        </is>
      </c>
      <c r="Q30" s="6" t="inlineStr">
        <is>
          <t>CAS BI 210</t>
        </is>
      </c>
      <c r="R30" s="6" t="n">
        <v>87</v>
      </c>
    </row>
    <row r="31">
      <c r="A31" s="6" t="inlineStr">
        <is>
          <t>L-030</t>
        </is>
      </c>
      <c r="B31" s="6" t="inlineStr">
        <is>
          <t>SYN-24003</t>
        </is>
      </c>
      <c r="C31" s="6" t="inlineStr">
        <is>
          <t>NEU</t>
        </is>
      </c>
      <c r="D31" s="6" t="inlineStr">
        <is>
          <t>Spring 2026</t>
        </is>
      </c>
      <c r="E31" s="6" t="inlineStr">
        <is>
          <t>BIOL 3611</t>
        </is>
      </c>
      <c r="F31" s="6" t="inlineStr">
        <is>
          <t>Biochemistry</t>
        </is>
      </c>
      <c r="G31" s="6" t="n">
        <v>5</v>
      </c>
      <c r="H31" s="6" t="inlineStr">
        <is>
          <t>Semester</t>
        </is>
      </c>
      <c r="I31" s="6" t="inlineStr">
        <is>
          <t>B+</t>
        </is>
      </c>
      <c r="J31" s="6">
        <f>IF(H31="Quarter",ROUND(G31*2/3,2),G31)</f>
        <v/>
      </c>
      <c r="K31" s="3" t="inlineStr">
        <is>
          <t>Maybe - syllabus on file; AI tier: Equivalent (&gt;=80%)</t>
        </is>
      </c>
      <c r="L31" s="6" t="inlineStr"/>
      <c r="M31" s="6" t="n">
        <v>0</v>
      </c>
      <c r="N31" s="6" t="inlineStr"/>
      <c r="O31" s="6" t="inlineStr">
        <is>
          <t>PD-REVIEW</t>
        </is>
      </c>
      <c r="P31" s="6" t="inlineStr"/>
      <c r="Q31" s="6" t="inlineStr">
        <is>
          <t>CAS CH 373</t>
        </is>
      </c>
      <c r="R31" s="6" t="n">
        <v>87</v>
      </c>
    </row>
    <row r="32">
      <c r="A32" s="6" t="inlineStr">
        <is>
          <t>L-031</t>
        </is>
      </c>
      <c r="B32" s="6" t="inlineStr">
        <is>
          <t>SYN-24003</t>
        </is>
      </c>
      <c r="C32" s="6" t="inlineStr">
        <is>
          <t>NEU</t>
        </is>
      </c>
      <c r="D32" s="6" t="inlineStr">
        <is>
          <t>Spring 2026</t>
        </is>
      </c>
      <c r="E32" s="6" t="inlineStr">
        <is>
          <t>CHEM 2313</t>
        </is>
      </c>
      <c r="F32" s="6" t="inlineStr">
        <is>
          <t>Organic Chemistry 2</t>
        </is>
      </c>
      <c r="G32" s="6" t="n">
        <v>5</v>
      </c>
      <c r="H32" s="6" t="inlineStr">
        <is>
          <t>Semester</t>
        </is>
      </c>
      <c r="I32" s="6" t="inlineStr">
        <is>
          <t>B</t>
        </is>
      </c>
      <c r="J32" s="6">
        <f>IF(H32="Quarter",ROUND(G32*2/3,2),G32)</f>
        <v/>
      </c>
      <c r="K32" s="6" t="inlineStr">
        <is>
          <t>Matched - existing equivalency</t>
        </is>
      </c>
      <c r="L32" s="6" t="inlineStr">
        <is>
          <t>CAS CH 204</t>
        </is>
      </c>
      <c r="M32" s="6" t="n">
        <v>5</v>
      </c>
      <c r="N32" s="6" t="inlineStr">
        <is>
          <t>T</t>
        </is>
      </c>
      <c r="O32" s="6" t="inlineStr">
        <is>
          <t>EQ-CONTENT</t>
        </is>
      </c>
      <c r="P32" s="6" t="inlineStr"/>
      <c r="Q32" s="6" t="inlineStr">
        <is>
          <t>CAS CH 204</t>
        </is>
      </c>
      <c r="R32" s="6" t="n">
        <v>100</v>
      </c>
    </row>
    <row r="33">
      <c r="A33" s="6" t="inlineStr">
        <is>
          <t>L-032</t>
        </is>
      </c>
      <c r="B33" s="6" t="inlineStr">
        <is>
          <t>SYN-24003</t>
        </is>
      </c>
      <c r="C33" s="6" t="inlineStr">
        <is>
          <t>NEU</t>
        </is>
      </c>
      <c r="D33" s="6" t="inlineStr">
        <is>
          <t>Spring 2026</t>
        </is>
      </c>
      <c r="E33" s="6" t="inlineStr">
        <is>
          <t>BIOL 4990</t>
        </is>
      </c>
      <c r="F33" s="6" t="inlineStr">
        <is>
          <t>Directed Research in Biology</t>
        </is>
      </c>
      <c r="G33" s="6" t="n">
        <v>4</v>
      </c>
      <c r="H33" s="6" t="inlineStr">
        <is>
          <t>Semester</t>
        </is>
      </c>
      <c r="I33" s="6" t="inlineStr">
        <is>
          <t>A</t>
        </is>
      </c>
      <c r="J33" s="6">
        <f>IF(H33="Quarter",ROUND(G33*2/3,2),G33)</f>
        <v/>
      </c>
      <c r="K33" s="6" t="inlineStr">
        <is>
          <t>Posted - no credit</t>
        </is>
      </c>
      <c r="L33" s="6" t="inlineStr">
        <is>
          <t>TFRGEN NOCRDT</t>
        </is>
      </c>
      <c r="M33" s="6" t="n">
        <v>0</v>
      </c>
      <c r="N33" s="6" t="inlineStr">
        <is>
          <t>TX</t>
        </is>
      </c>
      <c r="O33" s="6" t="inlineStr">
        <is>
          <t>NC-RESEARCH</t>
        </is>
      </c>
      <c r="P33" s="6" t="inlineStr"/>
      <c r="Q33" s="6" t="inlineStr"/>
      <c r="R33" s="6" t="n"/>
    </row>
    <row r="34">
      <c r="A34" s="6" t="inlineStr">
        <is>
          <t>L-033</t>
        </is>
      </c>
      <c r="B34" s="6" t="inlineStr">
        <is>
          <t>SYN-24004</t>
        </is>
      </c>
      <c r="C34" s="6" t="inlineStr">
        <is>
          <t>NEU</t>
        </is>
      </c>
      <c r="D34" s="6" t="inlineStr">
        <is>
          <t>Fall 2022</t>
        </is>
      </c>
      <c r="E34" s="6" t="inlineStr">
        <is>
          <t>ECON 1116</t>
        </is>
      </c>
      <c r="F34" s="6" t="inlineStr">
        <is>
          <t>Principles of Microeconomics</t>
        </is>
      </c>
      <c r="G34" s="6" t="n">
        <v>4</v>
      </c>
      <c r="H34" s="6" t="inlineStr">
        <is>
          <t>Semester</t>
        </is>
      </c>
      <c r="I34" s="6" t="inlineStr">
        <is>
          <t>A</t>
        </is>
      </c>
      <c r="J34" s="6">
        <f>IF(H34="Quarter",ROUND(G34*2/3,2),G34)</f>
        <v/>
      </c>
      <c r="K34" s="6" t="inlineStr">
        <is>
          <t>Matched - existing equivalency</t>
        </is>
      </c>
      <c r="L34" s="6" t="inlineStr">
        <is>
          <t>CAS EC 101</t>
        </is>
      </c>
      <c r="M34" s="6" t="n">
        <v>4</v>
      </c>
      <c r="N34" s="6" t="inlineStr">
        <is>
          <t>T</t>
        </is>
      </c>
      <c r="O34" s="6" t="inlineStr">
        <is>
          <t>EQ-CONTENT</t>
        </is>
      </c>
      <c r="P34" s="6" t="inlineStr"/>
      <c r="Q34" s="6" t="inlineStr">
        <is>
          <t>CAS EC 101</t>
        </is>
      </c>
      <c r="R34" s="6" t="n">
        <v>87</v>
      </c>
    </row>
    <row r="35">
      <c r="A35" s="6" t="inlineStr">
        <is>
          <t>L-034</t>
        </is>
      </c>
      <c r="B35" s="6" t="inlineStr">
        <is>
          <t>SYN-24004</t>
        </is>
      </c>
      <c r="C35" s="6" t="inlineStr">
        <is>
          <t>NEU</t>
        </is>
      </c>
      <c r="D35" s="6" t="inlineStr">
        <is>
          <t>Fall 2022</t>
        </is>
      </c>
      <c r="E35" s="6" t="inlineStr">
        <is>
          <t>MATH 1341</t>
        </is>
      </c>
      <c r="F35" s="6" t="inlineStr">
        <is>
          <t>Calculus 1 for Science and Engineering</t>
        </is>
      </c>
      <c r="G35" s="6" t="n">
        <v>4</v>
      </c>
      <c r="H35" s="6" t="inlineStr">
        <is>
          <t>Semester</t>
        </is>
      </c>
      <c r="I35" s="6" t="inlineStr">
        <is>
          <t>B</t>
        </is>
      </c>
      <c r="J35" s="6">
        <f>IF(H35="Quarter",ROUND(G35*2/3,2),G35)</f>
        <v/>
      </c>
      <c r="K35" s="6" t="inlineStr">
        <is>
          <t>Matched - existing equivalency</t>
        </is>
      </c>
      <c r="L35" s="6" t="inlineStr">
        <is>
          <t>CAS MA 123</t>
        </is>
      </c>
      <c r="M35" s="6" t="n">
        <v>4</v>
      </c>
      <c r="N35" s="6" t="inlineStr">
        <is>
          <t>T</t>
        </is>
      </c>
      <c r="O35" s="6" t="inlineStr">
        <is>
          <t>EQ-CONTENT</t>
        </is>
      </c>
      <c r="P35" s="6" t="inlineStr"/>
      <c r="Q35" s="6" t="inlineStr">
        <is>
          <t>CAS MA 123</t>
        </is>
      </c>
      <c r="R35" s="6" t="n">
        <v>87</v>
      </c>
    </row>
    <row r="36">
      <c r="A36" s="6" t="inlineStr">
        <is>
          <t>L-035</t>
        </is>
      </c>
      <c r="B36" s="6" t="inlineStr">
        <is>
          <t>SYN-24004</t>
        </is>
      </c>
      <c r="C36" s="6" t="inlineStr">
        <is>
          <t>NEU</t>
        </is>
      </c>
      <c r="D36" s="6" t="inlineStr">
        <is>
          <t>Fall 2022</t>
        </is>
      </c>
      <c r="E36" s="6" t="inlineStr">
        <is>
          <t>ENGW 1111</t>
        </is>
      </c>
      <c r="F36" s="6" t="inlineStr">
        <is>
          <t>First-Year Writing</t>
        </is>
      </c>
      <c r="G36" s="6" t="n">
        <v>4</v>
      </c>
      <c r="H36" s="6" t="inlineStr">
        <is>
          <t>Semester</t>
        </is>
      </c>
      <c r="I36" s="6" t="inlineStr">
        <is>
          <t>A-</t>
        </is>
      </c>
      <c r="J36" s="6">
        <f>IF(H36="Quarter",ROUND(G36*2/3,2),G36)</f>
        <v/>
      </c>
      <c r="K36" s="6" t="inlineStr">
        <is>
          <t>Matched - existing equivalency</t>
        </is>
      </c>
      <c r="L36" s="6" t="inlineStr">
        <is>
          <t>TFRGEN 1TR</t>
        </is>
      </c>
      <c r="M36" s="6" t="n">
        <v>4</v>
      </c>
      <c r="N36" s="6" t="inlineStr">
        <is>
          <t>T</t>
        </is>
      </c>
      <c r="O36" s="6" t="inlineStr">
        <is>
          <t>EL-NOEQUIV</t>
        </is>
      </c>
      <c r="P36" s="6" t="inlineStr"/>
      <c r="Q36" s="6" t="inlineStr"/>
      <c r="R36" s="6" t="n"/>
    </row>
    <row r="37">
      <c r="A37" s="6" t="inlineStr">
        <is>
          <t>L-036</t>
        </is>
      </c>
      <c r="B37" s="6" t="inlineStr">
        <is>
          <t>SYN-24004</t>
        </is>
      </c>
      <c r="C37" s="6" t="inlineStr">
        <is>
          <t>NEU</t>
        </is>
      </c>
      <c r="D37" s="6" t="inlineStr">
        <is>
          <t>Fall 2022</t>
        </is>
      </c>
      <c r="E37" s="6" t="inlineStr">
        <is>
          <t>MILS 1101</t>
        </is>
      </c>
      <c r="F37" s="6" t="inlineStr">
        <is>
          <t>Military Science I (ROTC)</t>
        </is>
      </c>
      <c r="G37" s="6" t="n">
        <v>2</v>
      </c>
      <c r="H37" s="6" t="inlineStr">
        <is>
          <t>Semester</t>
        </is>
      </c>
      <c r="I37" s="6" t="inlineStr">
        <is>
          <t>A</t>
        </is>
      </c>
      <c r="J37" s="6">
        <f>IF(H37="Quarter",ROUND(G37*2/3,2),G37)</f>
        <v/>
      </c>
      <c r="K37" s="6" t="inlineStr">
        <is>
          <t>Posted - no credit</t>
        </is>
      </c>
      <c r="L37" s="6" t="inlineStr">
        <is>
          <t>TFRGEN NOCRDT</t>
        </is>
      </c>
      <c r="M37" s="6" t="n">
        <v>0</v>
      </c>
      <c r="N37" s="6" t="inlineStr">
        <is>
          <t>TX</t>
        </is>
      </c>
      <c r="O37" s="6" t="inlineStr">
        <is>
          <t>NC-ROTC</t>
        </is>
      </c>
      <c r="P37" s="6" t="inlineStr"/>
      <c r="Q37" s="6" t="inlineStr"/>
      <c r="R37" s="6" t="n"/>
    </row>
    <row r="38">
      <c r="A38" s="6" t="inlineStr">
        <is>
          <t>L-037</t>
        </is>
      </c>
      <c r="B38" s="6" t="inlineStr">
        <is>
          <t>SYN-24004</t>
        </is>
      </c>
      <c r="C38" s="6" t="inlineStr">
        <is>
          <t>NEU</t>
        </is>
      </c>
      <c r="D38" s="6" t="inlineStr">
        <is>
          <t>Spring 2023</t>
        </is>
      </c>
      <c r="E38" s="6" t="inlineStr">
        <is>
          <t>ECON 1115</t>
        </is>
      </c>
      <c r="F38" s="6" t="inlineStr">
        <is>
          <t>Principles of Macroeconomics</t>
        </is>
      </c>
      <c r="G38" s="6" t="n">
        <v>4</v>
      </c>
      <c r="H38" s="6" t="inlineStr">
        <is>
          <t>Semester</t>
        </is>
      </c>
      <c r="I38" s="6" t="inlineStr">
        <is>
          <t>B+</t>
        </is>
      </c>
      <c r="J38" s="6">
        <f>IF(H38="Quarter",ROUND(G38*2/3,2),G38)</f>
        <v/>
      </c>
      <c r="K38" s="6" t="inlineStr">
        <is>
          <t>Matched - existing equivalency</t>
        </is>
      </c>
      <c r="L38" s="6" t="inlineStr">
        <is>
          <t>CAS EC 102</t>
        </is>
      </c>
      <c r="M38" s="6" t="n">
        <v>4</v>
      </c>
      <c r="N38" s="6" t="inlineStr">
        <is>
          <t>T</t>
        </is>
      </c>
      <c r="O38" s="6" t="inlineStr">
        <is>
          <t>EQ-CONTENT</t>
        </is>
      </c>
      <c r="P38" s="6" t="inlineStr"/>
      <c r="Q38" s="6" t="inlineStr">
        <is>
          <t>CAS EC 102</t>
        </is>
      </c>
      <c r="R38" s="6" t="n">
        <v>100</v>
      </c>
    </row>
    <row r="39">
      <c r="A39" s="6" t="inlineStr">
        <is>
          <t>L-038</t>
        </is>
      </c>
      <c r="B39" s="6" t="inlineStr">
        <is>
          <t>SYN-24004</t>
        </is>
      </c>
      <c r="C39" s="6" t="inlineStr">
        <is>
          <t>NEU</t>
        </is>
      </c>
      <c r="D39" s="6" t="inlineStr">
        <is>
          <t>Spring 2023</t>
        </is>
      </c>
      <c r="E39" s="6" t="inlineStr">
        <is>
          <t>MATH 1342</t>
        </is>
      </c>
      <c r="F39" s="6" t="inlineStr">
        <is>
          <t>Calculus 2 for Science and Engineering</t>
        </is>
      </c>
      <c r="G39" s="6" t="n">
        <v>4</v>
      </c>
      <c r="H39" s="6" t="inlineStr">
        <is>
          <t>Semester</t>
        </is>
      </c>
      <c r="I39" s="6" t="inlineStr">
        <is>
          <t>B-</t>
        </is>
      </c>
      <c r="J39" s="6">
        <f>IF(H39="Quarter",ROUND(G39*2/3,2),G39)</f>
        <v/>
      </c>
      <c r="K39" s="6" t="inlineStr">
        <is>
          <t>Matched - existing equivalency</t>
        </is>
      </c>
      <c r="L39" s="6" t="inlineStr">
        <is>
          <t>CAS MA 124</t>
        </is>
      </c>
      <c r="M39" s="6" t="n">
        <v>4</v>
      </c>
      <c r="N39" s="6" t="inlineStr">
        <is>
          <t>T</t>
        </is>
      </c>
      <c r="O39" s="6" t="inlineStr">
        <is>
          <t>EQ-CONTENT</t>
        </is>
      </c>
      <c r="P39" s="6" t="inlineStr"/>
      <c r="Q39" s="6" t="inlineStr">
        <is>
          <t>CAS MA 124</t>
        </is>
      </c>
      <c r="R39" s="6" t="n">
        <v>87</v>
      </c>
    </row>
    <row r="40">
      <c r="A40" s="6" t="inlineStr">
        <is>
          <t>L-039</t>
        </is>
      </c>
      <c r="B40" s="6" t="inlineStr">
        <is>
          <t>SYN-24004</t>
        </is>
      </c>
      <c r="C40" s="6" t="inlineStr">
        <is>
          <t>NEU</t>
        </is>
      </c>
      <c r="D40" s="6" t="inlineStr">
        <is>
          <t>Spring 2023</t>
        </is>
      </c>
      <c r="E40" s="6" t="inlineStr">
        <is>
          <t>HIST 1130</t>
        </is>
      </c>
      <c r="F40" s="6" t="inlineStr">
        <is>
          <t>Introduction to World History</t>
        </is>
      </c>
      <c r="G40" s="6" t="n">
        <v>4</v>
      </c>
      <c r="H40" s="6" t="inlineStr">
        <is>
          <t>Semester</t>
        </is>
      </c>
      <c r="I40" s="6" t="inlineStr">
        <is>
          <t>B</t>
        </is>
      </c>
      <c r="J40" s="6">
        <f>IF(H40="Quarter",ROUND(G40*2/3,2),G40)</f>
        <v/>
      </c>
      <c r="K40" s="6" t="inlineStr">
        <is>
          <t>Matched - existing equivalency</t>
        </is>
      </c>
      <c r="L40" s="6" t="inlineStr">
        <is>
          <t>TFRGEN 1TR</t>
        </is>
      </c>
      <c r="M40" s="6" t="n">
        <v>4</v>
      </c>
      <c r="N40" s="6" t="inlineStr">
        <is>
          <t>T</t>
        </is>
      </c>
      <c r="O40" s="6" t="inlineStr">
        <is>
          <t>EL-NOEQUIV</t>
        </is>
      </c>
      <c r="P40" s="6" t="inlineStr"/>
      <c r="Q40" s="6" t="inlineStr"/>
      <c r="R40" s="6" t="n"/>
    </row>
    <row r="41">
      <c r="A41" s="6" t="inlineStr">
        <is>
          <t>L-040</t>
        </is>
      </c>
      <c r="B41" s="6" t="inlineStr">
        <is>
          <t>SYN-24004</t>
        </is>
      </c>
      <c r="C41" s="6" t="inlineStr">
        <is>
          <t>NEU</t>
        </is>
      </c>
      <c r="D41" s="6" t="inlineStr">
        <is>
          <t>Spring 2023</t>
        </is>
      </c>
      <c r="E41" s="6" t="inlineStr">
        <is>
          <t>SOCL 1101</t>
        </is>
      </c>
      <c r="F41" s="6" t="inlineStr">
        <is>
          <t>Introduction to Sociology</t>
        </is>
      </c>
      <c r="G41" s="6" t="n">
        <v>4</v>
      </c>
      <c r="H41" s="6" t="inlineStr">
        <is>
          <t>Semester</t>
        </is>
      </c>
      <c r="I41" s="6" t="inlineStr">
        <is>
          <t>A</t>
        </is>
      </c>
      <c r="J41" s="6">
        <f>IF(H41="Quarter",ROUND(G41*2/3,2),G41)</f>
        <v/>
      </c>
      <c r="K41" s="6" t="inlineStr">
        <is>
          <t>Matched - existing equivalency</t>
        </is>
      </c>
      <c r="L41" s="6" t="inlineStr">
        <is>
          <t>TFRGEN 1TR</t>
        </is>
      </c>
      <c r="M41" s="6" t="n">
        <v>4</v>
      </c>
      <c r="N41" s="6" t="inlineStr">
        <is>
          <t>T</t>
        </is>
      </c>
      <c r="O41" s="6" t="inlineStr">
        <is>
          <t>EL-NOEQUIV</t>
        </is>
      </c>
      <c r="P41" s="6" t="inlineStr"/>
      <c r="Q41" s="6" t="inlineStr"/>
      <c r="R41" s="6" t="n"/>
    </row>
    <row r="42">
      <c r="A42" s="6" t="inlineStr">
        <is>
          <t>L-041</t>
        </is>
      </c>
      <c r="B42" s="6" t="inlineStr">
        <is>
          <t>SYN-24004</t>
        </is>
      </c>
      <c r="C42" s="6" t="inlineStr">
        <is>
          <t>SOI</t>
        </is>
      </c>
      <c r="D42" s="6" t="inlineStr">
        <is>
          <t>Summer 2023</t>
        </is>
      </c>
      <c r="E42" s="6" t="inlineStr">
        <is>
          <t>ECO 210</t>
        </is>
      </c>
      <c r="F42" s="6" t="inlineStr">
        <is>
          <t>Personal Finance</t>
        </is>
      </c>
      <c r="G42" s="6" t="n">
        <v>3</v>
      </c>
      <c r="H42" s="6" t="inlineStr">
        <is>
          <t>Semester</t>
        </is>
      </c>
      <c r="I42" s="6" t="inlineStr">
        <is>
          <t>A</t>
        </is>
      </c>
      <c r="J42" s="6">
        <f>IF(H42="Quarter",ROUND(G42*2/3,2),G42)</f>
        <v/>
      </c>
      <c r="K42" s="6" t="inlineStr">
        <is>
          <t>Posted - no credit</t>
        </is>
      </c>
      <c r="L42" s="6" t="inlineStr">
        <is>
          <t>TFRGEN NOCRDT</t>
        </is>
      </c>
      <c r="M42" s="6" t="n">
        <v>0</v>
      </c>
      <c r="N42" s="6" t="inlineStr">
        <is>
          <t>TX</t>
        </is>
      </c>
      <c r="O42" s="6" t="inlineStr">
        <is>
          <t>NC-ACCRED</t>
        </is>
      </c>
      <c r="P42" s="6" t="inlineStr"/>
      <c r="Q42" s="6" t="inlineStr"/>
      <c r="R42" s="6" t="n"/>
    </row>
    <row r="43">
      <c r="A43" s="6" t="inlineStr">
        <is>
          <t>L-042</t>
        </is>
      </c>
      <c r="B43" s="6" t="inlineStr">
        <is>
          <t>SYN-24004</t>
        </is>
      </c>
      <c r="C43" s="6" t="inlineStr">
        <is>
          <t>SOI</t>
        </is>
      </c>
      <c r="D43" s="6" t="inlineStr">
        <is>
          <t>Summer 2023</t>
        </is>
      </c>
      <c r="E43" s="6" t="inlineStr">
        <is>
          <t>BUS 101</t>
        </is>
      </c>
      <c r="F43" s="6" t="inlineStr">
        <is>
          <t>Introduction to Business</t>
        </is>
      </c>
      <c r="G43" s="6" t="n">
        <v>3</v>
      </c>
      <c r="H43" s="6" t="inlineStr">
        <is>
          <t>Semester</t>
        </is>
      </c>
      <c r="I43" s="6" t="inlineStr">
        <is>
          <t>A</t>
        </is>
      </c>
      <c r="J43" s="6">
        <f>IF(H43="Quarter",ROUND(G43*2/3,2),G43)</f>
        <v/>
      </c>
      <c r="K43" s="6" t="inlineStr">
        <is>
          <t>Posted - no credit</t>
        </is>
      </c>
      <c r="L43" s="6" t="inlineStr">
        <is>
          <t>TFRGEN NOCRDT</t>
        </is>
      </c>
      <c r="M43" s="6" t="n">
        <v>0</v>
      </c>
      <c r="N43" s="6" t="inlineStr">
        <is>
          <t>TX</t>
        </is>
      </c>
      <c r="O43" s="6" t="inlineStr">
        <is>
          <t>NC-ACCRED</t>
        </is>
      </c>
      <c r="P43" s="6" t="inlineStr"/>
      <c r="Q43" s="6" t="inlineStr"/>
      <c r="R43" s="6" t="n"/>
    </row>
    <row r="44">
      <c r="A44" s="6" t="inlineStr">
        <is>
          <t>L-043</t>
        </is>
      </c>
      <c r="B44" s="6" t="inlineStr">
        <is>
          <t>SYN-24004</t>
        </is>
      </c>
      <c r="C44" s="6" t="inlineStr">
        <is>
          <t>NYU</t>
        </is>
      </c>
      <c r="D44" s="6" t="inlineStr">
        <is>
          <t>Fall 2023</t>
        </is>
      </c>
      <c r="E44" s="6" t="inlineStr">
        <is>
          <t>PSYCH-UA 10</t>
        </is>
      </c>
      <c r="F44" s="6" t="inlineStr">
        <is>
          <t>Statistics for the Behavioral Sciences</t>
        </is>
      </c>
      <c r="G44" s="6" t="n">
        <v>4</v>
      </c>
      <c r="H44" s="6" t="inlineStr">
        <is>
          <t>Semester</t>
        </is>
      </c>
      <c r="I44" s="6" t="inlineStr">
        <is>
          <t>B+</t>
        </is>
      </c>
      <c r="J44" s="6">
        <f>IF(H44="Quarter",ROUND(G44*2/3,2),G44)</f>
        <v/>
      </c>
      <c r="K44" s="3" t="inlineStr">
        <is>
          <t>Maybe - syllabus on file; AI tier: Evaluator decides (50-79%)</t>
        </is>
      </c>
      <c r="L44" s="6" t="inlineStr"/>
      <c r="M44" s="6" t="n">
        <v>0</v>
      </c>
      <c r="N44" s="6" t="inlineStr"/>
      <c r="O44" s="6" t="inlineStr">
        <is>
          <t>PD-REVIEW</t>
        </is>
      </c>
      <c r="P44" s="3" t="inlineStr">
        <is>
          <t>Same course as Maya's PSYCH-UA 10: matches instantly once her decision is approved (test T15)</t>
        </is>
      </c>
      <c r="Q44" s="6" t="inlineStr">
        <is>
          <t>CAS PS 211</t>
        </is>
      </c>
      <c r="R44" s="6" t="n">
        <v>75</v>
      </c>
    </row>
    <row r="45">
      <c r="A45" s="6" t="inlineStr">
        <is>
          <t>L-044</t>
        </is>
      </c>
      <c r="B45" s="6" t="inlineStr">
        <is>
          <t>SYN-24004</t>
        </is>
      </c>
      <c r="C45" s="6" t="inlineStr">
        <is>
          <t>NYU</t>
        </is>
      </c>
      <c r="D45" s="6" t="inlineStr">
        <is>
          <t>Fall 2023</t>
        </is>
      </c>
      <c r="E45" s="6" t="inlineStr">
        <is>
          <t>COMM-UA 10</t>
        </is>
      </c>
      <c r="F45" s="6" t="inlineStr">
        <is>
          <t>Public Speaking</t>
        </is>
      </c>
      <c r="G45" s="6" t="n">
        <v>4</v>
      </c>
      <c r="H45" s="6" t="inlineStr">
        <is>
          <t>Semester</t>
        </is>
      </c>
      <c r="I45" s="6" t="inlineStr">
        <is>
          <t>A-</t>
        </is>
      </c>
      <c r="J45" s="6">
        <f>IF(H45="Quarter",ROUND(G45*2/3,2),G45)</f>
        <v/>
      </c>
      <c r="K45" s="6" t="inlineStr">
        <is>
          <t>Matched - existing equivalency</t>
        </is>
      </c>
      <c r="L45" s="6" t="inlineStr">
        <is>
          <t>TFRGEN 1TR</t>
        </is>
      </c>
      <c r="M45" s="6" t="n">
        <v>4</v>
      </c>
      <c r="N45" s="6" t="inlineStr">
        <is>
          <t>T</t>
        </is>
      </c>
      <c r="O45" s="6" t="inlineStr">
        <is>
          <t>EL-NOEQUIV</t>
        </is>
      </c>
      <c r="P45" s="6" t="inlineStr"/>
      <c r="Q45" s="6" t="inlineStr"/>
      <c r="R45" s="6" t="n"/>
    </row>
    <row r="46">
      <c r="A46" s="6" t="inlineStr">
        <is>
          <t>L-045</t>
        </is>
      </c>
      <c r="B46" s="6" t="inlineStr">
        <is>
          <t>SYN-24004</t>
        </is>
      </c>
      <c r="C46" s="6" t="inlineStr">
        <is>
          <t>NYU</t>
        </is>
      </c>
      <c r="D46" s="6" t="inlineStr">
        <is>
          <t>Fall 2023</t>
        </is>
      </c>
      <c r="E46" s="6" t="inlineStr">
        <is>
          <t>ART-UA 5</t>
        </is>
      </c>
      <c r="F46" s="6" t="inlineStr">
        <is>
          <t>Art Appreciation</t>
        </is>
      </c>
      <c r="G46" s="6" t="n">
        <v>4</v>
      </c>
      <c r="H46" s="6" t="inlineStr">
        <is>
          <t>Semester</t>
        </is>
      </c>
      <c r="I46" s="6" t="inlineStr">
        <is>
          <t>B+</t>
        </is>
      </c>
      <c r="J46" s="6">
        <f>IF(H46="Quarter",ROUND(G46*2/3,2),G46)</f>
        <v/>
      </c>
      <c r="K46" s="6" t="inlineStr">
        <is>
          <t>Matched - existing equivalency</t>
        </is>
      </c>
      <c r="L46" s="6" t="inlineStr">
        <is>
          <t>TFRGEN 1TR</t>
        </is>
      </c>
      <c r="M46" s="6" t="n">
        <v>4</v>
      </c>
      <c r="N46" s="6" t="inlineStr">
        <is>
          <t>T</t>
        </is>
      </c>
      <c r="O46" s="6" t="inlineStr">
        <is>
          <t>EL-NOEQUIV</t>
        </is>
      </c>
      <c r="P46" s="6" t="inlineStr"/>
      <c r="Q46" s="6" t="inlineStr"/>
      <c r="R46" s="6" t="n"/>
    </row>
    <row r="47">
      <c r="A47" s="6" t="inlineStr">
        <is>
          <t>L-046</t>
        </is>
      </c>
      <c r="B47" s="6" t="inlineStr">
        <is>
          <t>SYN-24004</t>
        </is>
      </c>
      <c r="C47" s="6" t="inlineStr">
        <is>
          <t>NYU</t>
        </is>
      </c>
      <c r="D47" s="6" t="inlineStr">
        <is>
          <t>Spring 2024</t>
        </is>
      </c>
      <c r="E47" s="6" t="inlineStr">
        <is>
          <t>SPAN-UA 1</t>
        </is>
      </c>
      <c r="F47" s="6" t="inlineStr">
        <is>
          <t>Elementary Spanish I</t>
        </is>
      </c>
      <c r="G47" s="6" t="n">
        <v>4</v>
      </c>
      <c r="H47" s="6" t="inlineStr">
        <is>
          <t>Semester</t>
        </is>
      </c>
      <c r="I47" s="6" t="inlineStr">
        <is>
          <t>B</t>
        </is>
      </c>
      <c r="J47" s="6">
        <f>IF(H47="Quarter",ROUND(G47*2/3,2),G47)</f>
        <v/>
      </c>
      <c r="K47" s="6" t="inlineStr">
        <is>
          <t>Matched - existing equivalency</t>
        </is>
      </c>
      <c r="L47" s="6" t="inlineStr">
        <is>
          <t>TFRGEN 1TR</t>
        </is>
      </c>
      <c r="M47" s="6" t="n">
        <v>4</v>
      </c>
      <c r="N47" s="6" t="inlineStr">
        <is>
          <t>T</t>
        </is>
      </c>
      <c r="O47" s="6" t="inlineStr">
        <is>
          <t>EL-NOEQUIV</t>
        </is>
      </c>
      <c r="P47" s="6" t="inlineStr"/>
      <c r="Q47" s="6" t="inlineStr"/>
      <c r="R47" s="6" t="n"/>
    </row>
    <row r="48">
      <c r="A48" s="6" t="inlineStr">
        <is>
          <t>L-047</t>
        </is>
      </c>
      <c r="B48" s="6" t="inlineStr">
        <is>
          <t>SYN-24004</t>
        </is>
      </c>
      <c r="C48" s="6" t="inlineStr">
        <is>
          <t>NYU</t>
        </is>
      </c>
      <c r="D48" s="6" t="inlineStr">
        <is>
          <t>Spring 2024</t>
        </is>
      </c>
      <c r="E48" s="6" t="inlineStr">
        <is>
          <t>ECON-UA 10</t>
        </is>
      </c>
      <c r="F48" s="6" t="inlineStr">
        <is>
          <t>Intermediate Microeconomics</t>
        </is>
      </c>
      <c r="G48" s="6" t="n">
        <v>4</v>
      </c>
      <c r="H48" s="6" t="inlineStr">
        <is>
          <t>Semester</t>
        </is>
      </c>
      <c r="I48" s="6" t="inlineStr">
        <is>
          <t>B+</t>
        </is>
      </c>
      <c r="J48" s="6">
        <f>IF(H48="Quarter",ROUND(G48*2/3,2),G48)</f>
        <v/>
      </c>
      <c r="K48" s="6" t="inlineStr">
        <is>
          <t>Matched - existing equivalency</t>
        </is>
      </c>
      <c r="L48" s="6" t="inlineStr">
        <is>
          <t>CAS EC 201</t>
        </is>
      </c>
      <c r="M48" s="6" t="n">
        <v>4</v>
      </c>
      <c r="N48" s="6" t="inlineStr">
        <is>
          <t>T</t>
        </is>
      </c>
      <c r="O48" s="6" t="inlineStr">
        <is>
          <t>EQ-CONTENT</t>
        </is>
      </c>
      <c r="P48" s="3" t="inlineStr">
        <is>
          <t>Econ 200+ cap applies only after matriculation: not applied</t>
        </is>
      </c>
      <c r="Q48" s="6" t="inlineStr">
        <is>
          <t>CAS EC 201</t>
        </is>
      </c>
      <c r="R48" s="6" t="n">
        <v>87</v>
      </c>
    </row>
    <row r="49">
      <c r="A49" s="6" t="inlineStr">
        <is>
          <t>L-048</t>
        </is>
      </c>
      <c r="B49" s="6" t="inlineStr">
        <is>
          <t>SYN-24004</t>
        </is>
      </c>
      <c r="C49" s="6" t="inlineStr">
        <is>
          <t>NYU</t>
        </is>
      </c>
      <c r="D49" s="6" t="inlineStr">
        <is>
          <t>Spring 2024</t>
        </is>
      </c>
      <c r="E49" s="6" t="inlineStr">
        <is>
          <t>PHIL-UA 3</t>
        </is>
      </c>
      <c r="F49" s="6" t="inlineStr">
        <is>
          <t>Introduction to Ethics</t>
        </is>
      </c>
      <c r="G49" s="6" t="n">
        <v>4</v>
      </c>
      <c r="H49" s="6" t="inlineStr">
        <is>
          <t>Semester</t>
        </is>
      </c>
      <c r="I49" s="6" t="inlineStr">
        <is>
          <t>A</t>
        </is>
      </c>
      <c r="J49" s="6">
        <f>IF(H49="Quarter",ROUND(G49*2/3,2),G49)</f>
        <v/>
      </c>
      <c r="K49" s="6" t="inlineStr">
        <is>
          <t>Matched - existing equivalency</t>
        </is>
      </c>
      <c r="L49" s="6" t="inlineStr">
        <is>
          <t>TFRGEN 1TR</t>
        </is>
      </c>
      <c r="M49" s="6" t="n">
        <v>4</v>
      </c>
      <c r="N49" s="6" t="inlineStr">
        <is>
          <t>T</t>
        </is>
      </c>
      <c r="O49" s="6" t="inlineStr">
        <is>
          <t>EL-NOEQUIV</t>
        </is>
      </c>
      <c r="P49" s="6" t="inlineStr"/>
      <c r="Q49" s="6" t="inlineStr"/>
      <c r="R49" s="6" t="n"/>
    </row>
    <row r="50">
      <c r="A50" s="6" t="inlineStr">
        <is>
          <t>L-049</t>
        </is>
      </c>
      <c r="B50" s="6" t="inlineStr">
        <is>
          <t>SYN-24004</t>
        </is>
      </c>
      <c r="C50" s="6" t="inlineStr">
        <is>
          <t>NYU</t>
        </is>
      </c>
      <c r="D50" s="6" t="inlineStr">
        <is>
          <t>Fall 2024</t>
        </is>
      </c>
      <c r="E50" s="6" t="inlineStr">
        <is>
          <t>ECON-UA 12</t>
        </is>
      </c>
      <c r="F50" s="6" t="inlineStr">
        <is>
          <t>Intermediate Macroeconomics</t>
        </is>
      </c>
      <c r="G50" s="6" t="n">
        <v>4</v>
      </c>
      <c r="H50" s="6" t="inlineStr">
        <is>
          <t>Semester</t>
        </is>
      </c>
      <c r="I50" s="6" t="inlineStr">
        <is>
          <t>B</t>
        </is>
      </c>
      <c r="J50" s="6">
        <f>IF(H50="Quarter",ROUND(G50*2/3,2),G50)</f>
        <v/>
      </c>
      <c r="K50" s="6" t="inlineStr">
        <is>
          <t>Matched - existing equivalency</t>
        </is>
      </c>
      <c r="L50" s="6" t="inlineStr">
        <is>
          <t>CAS EC 202</t>
        </is>
      </c>
      <c r="M50" s="6" t="n">
        <v>4</v>
      </c>
      <c r="N50" s="6" t="inlineStr">
        <is>
          <t>T</t>
        </is>
      </c>
      <c r="O50" s="6" t="inlineStr">
        <is>
          <t>EQ-CONTENT</t>
        </is>
      </c>
      <c r="P50" s="3" t="inlineStr">
        <is>
          <t>Econ 200+ cap applies only after matriculation: not applied</t>
        </is>
      </c>
      <c r="Q50" s="6" t="inlineStr">
        <is>
          <t>CAS EC 202</t>
        </is>
      </c>
      <c r="R50" s="6" t="n">
        <v>100</v>
      </c>
    </row>
    <row r="51">
      <c r="A51" s="6" t="inlineStr">
        <is>
          <t>L-050</t>
        </is>
      </c>
      <c r="B51" s="6" t="inlineStr">
        <is>
          <t>SYN-24004</t>
        </is>
      </c>
      <c r="C51" s="6" t="inlineStr">
        <is>
          <t>NYU</t>
        </is>
      </c>
      <c r="D51" s="6" t="inlineStr">
        <is>
          <t>Fall 2024</t>
        </is>
      </c>
      <c r="E51" s="6" t="inlineStr">
        <is>
          <t>ECON-UA 18</t>
        </is>
      </c>
      <c r="F51" s="6" t="inlineStr">
        <is>
          <t>Statistics</t>
        </is>
      </c>
      <c r="G51" s="6" t="n">
        <v>4</v>
      </c>
      <c r="H51" s="6" t="inlineStr">
        <is>
          <t>Semester</t>
        </is>
      </c>
      <c r="I51" s="6" t="inlineStr">
        <is>
          <t>A-</t>
        </is>
      </c>
      <c r="J51" s="6">
        <f>IF(H51="Quarter",ROUND(G51*2/3,2),G51)</f>
        <v/>
      </c>
      <c r="K51" s="6" t="inlineStr">
        <is>
          <t>Matched - existing equivalency</t>
        </is>
      </c>
      <c r="L51" s="6" t="inlineStr">
        <is>
          <t>CAS EC 203</t>
        </is>
      </c>
      <c r="M51" s="6" t="n">
        <v>4</v>
      </c>
      <c r="N51" s="6" t="inlineStr">
        <is>
          <t>T</t>
        </is>
      </c>
      <c r="O51" s="6" t="inlineStr">
        <is>
          <t>EQ-EVALUATOR</t>
        </is>
      </c>
      <c r="P51" s="3" t="inlineStr">
        <is>
          <t>Older conflicting decision superseded by newest catalog year; Econ 200+ cap applies only after matriculation: not applied</t>
        </is>
      </c>
      <c r="Q51" s="6" t="inlineStr">
        <is>
          <t>CAS EC 203</t>
        </is>
      </c>
      <c r="R51" s="6" t="n">
        <v>100</v>
      </c>
    </row>
    <row r="52">
      <c r="A52" s="6" t="inlineStr">
        <is>
          <t>L-051</t>
        </is>
      </c>
      <c r="B52" s="6" t="inlineStr">
        <is>
          <t>SYN-24004</t>
        </is>
      </c>
      <c r="C52" s="6" t="inlineStr">
        <is>
          <t>NYU</t>
        </is>
      </c>
      <c r="D52" s="6" t="inlineStr">
        <is>
          <t>Fall 2024</t>
        </is>
      </c>
      <c r="E52" s="6" t="inlineStr">
        <is>
          <t>MATH-UA 140</t>
        </is>
      </c>
      <c r="F52" s="6" t="inlineStr">
        <is>
          <t>Linear Algebra</t>
        </is>
      </c>
      <c r="G52" s="6" t="n">
        <v>4</v>
      </c>
      <c r="H52" s="6" t="inlineStr">
        <is>
          <t>Semester</t>
        </is>
      </c>
      <c r="I52" s="6" t="inlineStr">
        <is>
          <t>B</t>
        </is>
      </c>
      <c r="J52" s="6">
        <f>IF(H52="Quarter",ROUND(G52*2/3,2),G52)</f>
        <v/>
      </c>
      <c r="K52" s="6" t="inlineStr">
        <is>
          <t>Matched - existing equivalency</t>
        </is>
      </c>
      <c r="L52" s="6" t="inlineStr">
        <is>
          <t>CAS MA 242</t>
        </is>
      </c>
      <c r="M52" s="6" t="n">
        <v>4</v>
      </c>
      <c r="N52" s="6" t="inlineStr">
        <is>
          <t>T</t>
        </is>
      </c>
      <c r="O52" s="6" t="inlineStr">
        <is>
          <t>EQ-CONTENT</t>
        </is>
      </c>
      <c r="P52" s="6" t="inlineStr"/>
      <c r="Q52" s="6" t="inlineStr">
        <is>
          <t>CAS MA 242</t>
        </is>
      </c>
      <c r="R52" s="6" t="n">
        <v>100</v>
      </c>
    </row>
    <row r="53">
      <c r="A53" s="6" t="inlineStr">
        <is>
          <t>L-052</t>
        </is>
      </c>
      <c r="B53" s="6" t="inlineStr">
        <is>
          <t>SYN-24004</t>
        </is>
      </c>
      <c r="C53" s="6" t="inlineStr">
        <is>
          <t>NYU</t>
        </is>
      </c>
      <c r="D53" s="6" t="inlineStr">
        <is>
          <t>Spring 2025</t>
        </is>
      </c>
      <c r="E53" s="6" t="inlineStr">
        <is>
          <t>ECON-UA 266</t>
        </is>
      </c>
      <c r="F53" s="6" t="inlineStr">
        <is>
          <t>Intro to Econometrics</t>
        </is>
      </c>
      <c r="G53" s="6" t="n">
        <v>4</v>
      </c>
      <c r="H53" s="6" t="inlineStr">
        <is>
          <t>Semester</t>
        </is>
      </c>
      <c r="I53" s="6" t="inlineStr">
        <is>
          <t>B</t>
        </is>
      </c>
      <c r="J53" s="6">
        <f>IF(H53="Quarter",ROUND(G53*2/3,2),G53)</f>
        <v/>
      </c>
      <c r="K53" s="3" t="inlineStr">
        <is>
          <t>Maybe - syllabus on file; AI tier: Evaluator decides (50-79%)</t>
        </is>
      </c>
      <c r="L53" s="6" t="inlineStr"/>
      <c r="M53" s="6" t="n">
        <v>0</v>
      </c>
      <c r="N53" s="6" t="inlineStr"/>
      <c r="O53" s="6" t="inlineStr">
        <is>
          <t>PD-REVIEW</t>
        </is>
      </c>
      <c r="P53" s="3" t="inlineStr">
        <is>
          <t>Econ 200+ cap applies only after matriculation: not applied</t>
        </is>
      </c>
      <c r="Q53" s="6" t="inlineStr">
        <is>
          <t>CAS EC 204</t>
        </is>
      </c>
      <c r="R53" s="6" t="n">
        <v>62</v>
      </c>
    </row>
    <row r="54">
      <c r="A54" s="6" t="inlineStr">
        <is>
          <t>L-053</t>
        </is>
      </c>
      <c r="B54" s="6" t="inlineStr">
        <is>
          <t>SYN-24004</t>
        </is>
      </c>
      <c r="C54" s="6" t="inlineStr">
        <is>
          <t>NYU</t>
        </is>
      </c>
      <c r="D54" s="6" t="inlineStr">
        <is>
          <t>Spring 2025</t>
        </is>
      </c>
      <c r="E54" s="6" t="inlineStr">
        <is>
          <t>ECON-UA 163</t>
        </is>
      </c>
      <c r="F54" s="6" t="inlineStr">
        <is>
          <t>Money and Banking</t>
        </is>
      </c>
      <c r="G54" s="6" t="n">
        <v>4</v>
      </c>
      <c r="H54" s="6" t="inlineStr">
        <is>
          <t>Semester</t>
        </is>
      </c>
      <c r="I54" s="6" t="inlineStr">
        <is>
          <t>A-</t>
        </is>
      </c>
      <c r="J54" s="6">
        <f>IF(H54="Quarter",ROUND(G54*2/3,2),G54)</f>
        <v/>
      </c>
      <c r="K54" s="6" t="inlineStr">
        <is>
          <t>Matched - existing equivalency</t>
        </is>
      </c>
      <c r="L54" s="6" t="inlineStr">
        <is>
          <t>CAS EC 220</t>
        </is>
      </c>
      <c r="M54" s="6" t="n">
        <v>0</v>
      </c>
      <c r="N54" s="6" t="inlineStr">
        <is>
          <t>T</t>
        </is>
      </c>
      <c r="O54" s="6" t="inlineStr">
        <is>
          <t>EQ-CONTENT</t>
        </is>
      </c>
      <c r="P54" s="3" t="inlineStr">
        <is>
          <t>68-unit cap reached: only 0.0 of 4.0 units can count; Econ 200+ cap applies only after matriculation: not applied</t>
        </is>
      </c>
      <c r="Q54" s="6" t="inlineStr">
        <is>
          <t>CAS EC 220</t>
        </is>
      </c>
      <c r="R54" s="6" t="n">
        <v>100</v>
      </c>
    </row>
    <row r="55">
      <c r="A55" s="6" t="inlineStr">
        <is>
          <t>L-054</t>
        </is>
      </c>
      <c r="B55" s="6" t="inlineStr">
        <is>
          <t>SYN-24004</t>
        </is>
      </c>
      <c r="C55" s="6" t="inlineStr">
        <is>
          <t>NYU</t>
        </is>
      </c>
      <c r="D55" s="6" t="inlineStr">
        <is>
          <t>Fall 2025</t>
        </is>
      </c>
      <c r="E55" s="6" t="inlineStr">
        <is>
          <t>ECON-UA 166</t>
        </is>
      </c>
      <c r="F55" s="6" t="inlineStr">
        <is>
          <t>International Trade</t>
        </is>
      </c>
      <c r="G55" s="6" t="n">
        <v>4</v>
      </c>
      <c r="H55" s="6" t="inlineStr">
        <is>
          <t>Semester</t>
        </is>
      </c>
      <c r="I55" s="6" t="inlineStr">
        <is>
          <t>B+</t>
        </is>
      </c>
      <c r="J55" s="6">
        <f>IF(H55="Quarter",ROUND(G55*2/3,2),G55)</f>
        <v/>
      </c>
      <c r="K55" s="6" t="inlineStr">
        <is>
          <t>Matched - existing equivalency</t>
        </is>
      </c>
      <c r="L55" s="6" t="inlineStr">
        <is>
          <t>CAS EC 250</t>
        </is>
      </c>
      <c r="M55" s="6" t="n">
        <v>0</v>
      </c>
      <c r="N55" s="6" t="inlineStr">
        <is>
          <t>T</t>
        </is>
      </c>
      <c r="O55" s="6" t="inlineStr">
        <is>
          <t>EQ-CONTENT</t>
        </is>
      </c>
      <c r="P55" s="3" t="inlineStr">
        <is>
          <t>68-unit cap reached: only 0.0 of 4.0 units can count; Econ 200+ cap applies only after matriculation: not applied</t>
        </is>
      </c>
      <c r="Q55" s="6" t="inlineStr">
        <is>
          <t>CAS EC 250</t>
        </is>
      </c>
      <c r="R55" s="6" t="n">
        <v>87</v>
      </c>
    </row>
    <row r="56">
      <c r="A56" s="6" t="inlineStr">
        <is>
          <t>L-055</t>
        </is>
      </c>
      <c r="B56" s="6" t="inlineStr">
        <is>
          <t>SYN-24004</t>
        </is>
      </c>
      <c r="C56" s="6" t="inlineStr">
        <is>
          <t>NYU</t>
        </is>
      </c>
      <c r="D56" s="6" t="inlineStr">
        <is>
          <t>Fall 2025</t>
        </is>
      </c>
      <c r="E56" s="6" t="inlineStr">
        <is>
          <t>ECON-UA 169</t>
        </is>
      </c>
      <c r="F56" s="6" t="inlineStr">
        <is>
          <t>Labor Economics</t>
        </is>
      </c>
      <c r="G56" s="6" t="n">
        <v>4</v>
      </c>
      <c r="H56" s="6" t="inlineStr">
        <is>
          <t>Semester</t>
        </is>
      </c>
      <c r="I56" s="6" t="inlineStr">
        <is>
          <t>B</t>
        </is>
      </c>
      <c r="J56" s="6">
        <f>IF(H56="Quarter",ROUND(G56*2/3,2),G56)</f>
        <v/>
      </c>
      <c r="K56" s="6" t="inlineStr">
        <is>
          <t>Maybe - syllabus requested (TS)</t>
        </is>
      </c>
      <c r="L56" s="6" t="inlineStr"/>
      <c r="M56" s="6" t="n">
        <v>0</v>
      </c>
      <c r="N56" s="6" t="inlineStr"/>
      <c r="O56" s="6" t="inlineStr">
        <is>
          <t>PD-TS</t>
        </is>
      </c>
      <c r="P56" s="3" t="inlineStr">
        <is>
          <t>68-unit cap reached: only 0.0 of 4.0 units can count; Econ 200+ cap applies only after matriculation: not applied</t>
        </is>
      </c>
      <c r="Q56" s="6" t="inlineStr">
        <is>
          <t>CAS EC 240</t>
        </is>
      </c>
      <c r="R56" s="6" t="n">
        <v>75</v>
      </c>
    </row>
    <row r="57">
      <c r="A57" s="6" t="inlineStr">
        <is>
          <t>L-056</t>
        </is>
      </c>
      <c r="B57" s="6" t="inlineStr">
        <is>
          <t>SYN-24004</t>
        </is>
      </c>
      <c r="C57" s="6" t="inlineStr">
        <is>
          <t>NYU</t>
        </is>
      </c>
      <c r="D57" s="6" t="inlineStr">
        <is>
          <t>Spring 2026</t>
        </is>
      </c>
      <c r="E57" s="6" t="inlineStr">
        <is>
          <t>ECON-UA 980</t>
        </is>
      </c>
      <c r="F57" s="6" t="inlineStr">
        <is>
          <t>Economics Internship</t>
        </is>
      </c>
      <c r="G57" s="6" t="n">
        <v>4</v>
      </c>
      <c r="H57" s="6" t="inlineStr">
        <is>
          <t>Semester</t>
        </is>
      </c>
      <c r="I57" s="6" t="inlineStr">
        <is>
          <t>P</t>
        </is>
      </c>
      <c r="J57" s="6">
        <f>IF(H57="Quarter",ROUND(G57*2/3,2),G57)</f>
        <v/>
      </c>
      <c r="K57" s="6" t="inlineStr">
        <is>
          <t>Posted - no credit</t>
        </is>
      </c>
      <c r="L57" s="6" t="inlineStr">
        <is>
          <t>TFRGEN NOCRDT</t>
        </is>
      </c>
      <c r="M57" s="6" t="n">
        <v>0</v>
      </c>
      <c r="N57" s="6" t="inlineStr">
        <is>
          <t>TX</t>
        </is>
      </c>
      <c r="O57" s="6" t="inlineStr">
        <is>
          <t>NC-INTERNSHIP</t>
        </is>
      </c>
      <c r="P57" s="6" t="inlineStr"/>
      <c r="Q57" s="6" t="inlineStr"/>
      <c r="R57" s="6" t="n"/>
    </row>
  </sheetData>
  <autoFilter ref="A1:R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6" customWidth="1" min="3" max="3"/>
    <col width="14.4" customWidth="1" min="4" max="4"/>
    <col width="18" customWidth="1" min="5" max="5"/>
    <col width="10" customWidth="1" min="6" max="6"/>
    <col width="10" customWidth="1" min="7" max="7"/>
    <col width="40" customWidth="1" min="8" max="8"/>
    <col width="40" customWidth="1" min="9" max="9"/>
    <col width="70" customWidth="1" min="10" max="10"/>
    <col width="70" customWidth="1" min="11" max="11"/>
    <col width="60" customWidth="1" min="12" max="12"/>
  </cols>
  <sheetData>
    <row r="1">
      <c r="A1" s="5" t="inlineStr">
        <is>
          <t>BU code</t>
        </is>
      </c>
      <c r="B1" s="5" t="inlineStr">
        <is>
          <t>Dept</t>
        </is>
      </c>
      <c r="C1" s="5" t="inlineStr">
        <is>
          <t>Title</t>
        </is>
      </c>
      <c r="D1" s="5" t="inlineStr">
        <is>
          <t>Program</t>
        </is>
      </c>
      <c r="E1" s="5" t="inlineStr">
        <is>
          <t>Requirement type</t>
        </is>
      </c>
      <c r="F1" s="5" t="inlineStr">
        <is>
          <t>Level</t>
        </is>
      </c>
      <c r="G1" s="5" t="inlineStr">
        <is>
          <t>Credits</t>
        </is>
      </c>
      <c r="H1" s="5" t="inlineStr">
        <is>
          <t>Residency rule</t>
        </is>
      </c>
      <c r="I1" s="5" t="inlineStr">
        <is>
          <t>Source</t>
        </is>
      </c>
      <c r="J1" s="5" t="inlineStr">
        <is>
          <t>Description</t>
        </is>
      </c>
      <c r="K1" s="5" t="inlineStr">
        <is>
          <t>Learning outcomes</t>
        </is>
      </c>
      <c r="L1" s="5" t="inlineStr">
        <is>
          <t>Topics</t>
        </is>
      </c>
    </row>
    <row r="2">
      <c r="A2" s="6" t="inlineStr">
        <is>
          <t>CAS CS 111</t>
        </is>
      </c>
      <c r="B2" s="6" t="inlineStr">
        <is>
          <t>CS</t>
        </is>
      </c>
      <c r="C2" s="6" t="inlineStr">
        <is>
          <t>Introduction to Computer Science 1</t>
        </is>
      </c>
      <c r="D2" s="6" t="inlineStr">
        <is>
          <t>Computer Science</t>
        </is>
      </c>
      <c r="E2" s="6" t="inlineStr">
        <is>
          <t>Core (Group A)</t>
        </is>
      </c>
      <c r="F2" s="6" t="n">
        <v>100</v>
      </c>
      <c r="G2" s="6" t="n">
        <v>4</v>
      </c>
      <c r="H2" s="6" t="inlineStr"/>
      <c r="I2" s="3" t="inlineStr">
        <is>
          <t>Code/title from provided BU workbook (public catalog); description synthetic</t>
        </is>
      </c>
      <c r="J2" s="3" t="inlineStr">
        <is>
          <t>Introduction to Computer Science 1 is an introductory course in computer science. It covers variables and expressions, conditionals and loops, functions and parameters and lists and strings, and builds toward recursion and file input and output. Students work through programming assignments, with later units on debugging and testing and problem decomposition.</t>
        </is>
      </c>
      <c r="K2" s="3" t="inlineStr">
        <is>
          <t>Explain the core ideas of variables and expressions | Apply conditionals and loops to solve standard problems | Analyze problems involving functions and parameters | Use lists and strings in practical exercises | Evaluate approaches to recursion | Communicate findings about file input and output</t>
        </is>
      </c>
      <c r="L2" s="3" t="inlineStr">
        <is>
          <t>variables and expressions | conditionals and loops | functions and parameters | lists and strings | recursion | file input and output | debugging and testing | problem decomposition</t>
        </is>
      </c>
    </row>
    <row r="3">
      <c r="A3" s="6" t="inlineStr">
        <is>
          <t>CAS CS 112</t>
        </is>
      </c>
      <c r="B3" s="6" t="inlineStr">
        <is>
          <t>CS</t>
        </is>
      </c>
      <c r="C3" s="6" t="inlineStr">
        <is>
          <t>Introduction to Computer Science 2</t>
        </is>
      </c>
      <c r="D3" s="6" t="inlineStr">
        <is>
          <t>Computer Science</t>
        </is>
      </c>
      <c r="E3" s="6" t="inlineStr">
        <is>
          <t>Core (Group A)</t>
        </is>
      </c>
      <c r="F3" s="6" t="n">
        <v>100</v>
      </c>
      <c r="G3" s="6" t="n">
        <v>4</v>
      </c>
      <c r="H3" s="6" t="inlineStr"/>
      <c r="I3" s="3" t="inlineStr">
        <is>
          <t>Code/title from provided BU workbook (public catalog); description synthetic</t>
        </is>
      </c>
      <c r="J3" s="3" t="inlineStr">
        <is>
          <t>Introduction to Computer Science 2 is an introductory course in computer science. It covers object-oriented programming, linked lists, stacks and queues and binary trees, and builds toward hash tables and sorting algorithms. Students work through programming assignments, with later units on algorithm efficiency and recursion on data structures.</t>
        </is>
      </c>
      <c r="K3" s="3" t="inlineStr">
        <is>
          <t>Explain the core ideas of object-oriented programming | Apply linked lists to solve standard problems | Analyze problems involving stacks and queues | Use binary trees in practical exercises | Evaluate approaches to hash tables | Communicate findings about sorting algorithms</t>
        </is>
      </c>
      <c r="L3" s="3" t="inlineStr">
        <is>
          <t>object-oriented programming | linked lists | stacks and queues | binary trees | hash tables | sorting algorithms | algorithm efficiency | recursion on data structures</t>
        </is>
      </c>
    </row>
    <row r="4">
      <c r="A4" s="6" t="inlineStr">
        <is>
          <t>CAS CS 131</t>
        </is>
      </c>
      <c r="B4" s="6" t="inlineStr">
        <is>
          <t>CS</t>
        </is>
      </c>
      <c r="C4" s="6" t="inlineStr">
        <is>
          <t>Combinatoric Structures</t>
        </is>
      </c>
      <c r="D4" s="6" t="inlineStr">
        <is>
          <t>Computer Science</t>
        </is>
      </c>
      <c r="E4" s="6" t="inlineStr">
        <is>
          <t>Core (Group A)</t>
        </is>
      </c>
      <c r="F4" s="6" t="n">
        <v>100</v>
      </c>
      <c r="G4" s="6" t="n">
        <v>4</v>
      </c>
      <c r="H4" s="6" t="inlineStr"/>
      <c r="I4" s="3" t="inlineStr">
        <is>
          <t>Code/title from provided BU workbook (public catalog); description synthetic</t>
        </is>
      </c>
      <c r="J4" s="3" t="inlineStr">
        <is>
          <t>Combinatoric Structures is an introductory course in computer science. It covers propositional logic, proof techniques, sets and functions and counting principles, and builds toward mathematical induction and relations. Students work through programming assignments, with later units on graph basics and discrete probability.</t>
        </is>
      </c>
      <c r="K4" s="3" t="inlineStr">
        <is>
          <t>Explain the core ideas of propositional logic | Apply proof techniques to solve standard problems | Analyze problems involving sets and functions | Use counting principles in practical exercises | Evaluate approaches to mathematical induction | Communicate findings about relations</t>
        </is>
      </c>
      <c r="L4" s="3" t="inlineStr">
        <is>
          <t>propositional logic | proof techniques | sets and functions | counting principles | mathematical induction | relations | graph basics | discrete probability</t>
        </is>
      </c>
    </row>
    <row r="5">
      <c r="A5" s="6" t="inlineStr">
        <is>
          <t>CAS CS 210</t>
        </is>
      </c>
      <c r="B5" s="6" t="inlineStr">
        <is>
          <t>CS</t>
        </is>
      </c>
      <c r="C5" s="6" t="inlineStr">
        <is>
          <t>Computer Systems</t>
        </is>
      </c>
      <c r="D5" s="6" t="inlineStr">
        <is>
          <t>Computer Science</t>
        </is>
      </c>
      <c r="E5" s="6" t="inlineStr">
        <is>
          <t>Core (Group A)</t>
        </is>
      </c>
      <c r="F5" s="6" t="n">
        <v>200</v>
      </c>
      <c r="G5" s="6" t="n">
        <v>4</v>
      </c>
      <c r="H5" s="6" t="inlineStr"/>
      <c r="I5" s="3" t="inlineStr">
        <is>
          <t>Code/title from provided BU workbook (public catalog); description synthetic</t>
        </is>
      </c>
      <c r="J5" s="3" t="inlineStr">
        <is>
          <t>Computer Systems is an intermediate course in computer science. It covers binary data representation, C programming, assembly language and memory hierarchy, and builds toward caches and linking and loading. Students work through programming assignments, with later units on processes and virtual memory.</t>
        </is>
      </c>
      <c r="K5" s="3" t="inlineStr">
        <is>
          <t>Explain the core ideas of binary data representation | Apply C programming to solve standard problems | Analyze problems involving assembly language | Use memory hierarchy in practical exercises | Evaluate approaches to caches | Communicate findings about linking and loading</t>
        </is>
      </c>
      <c r="L5" s="3" t="inlineStr">
        <is>
          <t>binary data representation | C programming | assembly language | memory hierarchy | caches | linking and loading | processes | virtual memory</t>
        </is>
      </c>
    </row>
    <row r="6">
      <c r="A6" s="6" t="inlineStr">
        <is>
          <t>CAS CS 330</t>
        </is>
      </c>
      <c r="B6" s="6" t="inlineStr">
        <is>
          <t>CS</t>
        </is>
      </c>
      <c r="C6" s="3" t="inlineStr">
        <is>
          <t>Introduction to the Analysis of Algorithms</t>
        </is>
      </c>
      <c r="D6" s="6" t="inlineStr">
        <is>
          <t>Computer Science</t>
        </is>
      </c>
      <c r="E6" s="6" t="inlineStr">
        <is>
          <t>Core (Group A)</t>
        </is>
      </c>
      <c r="F6" s="6" t="n">
        <v>300</v>
      </c>
      <c r="G6" s="6" t="n">
        <v>4</v>
      </c>
      <c r="H6" s="6" t="inlineStr"/>
      <c r="I6" s="3" t="inlineStr">
        <is>
          <t>Code/title from provided BU workbook (public catalog); description synthetic</t>
        </is>
      </c>
      <c r="J6" s="3" t="inlineStr">
        <is>
          <t>Introduction to the Analysis of Algorithms is an advanced course in computer science. It covers asymptotic analysis, divide and conquer, greedy algorithms and dynamic programming, and builds toward graph algorithms and shortest paths. Students work through programming assignments, with later units on network flow and NP-completeness.</t>
        </is>
      </c>
      <c r="K6" s="3" t="inlineStr">
        <is>
          <t>Explain the core ideas of asymptotic analysis | Apply divide and conquer to solve standard problems | Analyze problems involving greedy algorithms | Use dynamic programming in practical exercises | Evaluate approaches to graph algorithms | Communicate findings about shortest paths</t>
        </is>
      </c>
      <c r="L6" s="3" t="inlineStr">
        <is>
          <t>asymptotic analysis | divide and conquer | greedy algorithms | dynamic programming | graph algorithms | shortest paths | network flow | NP-completeness</t>
        </is>
      </c>
    </row>
    <row r="7">
      <c r="A7" s="6" t="inlineStr">
        <is>
          <t>CAS CS 132</t>
        </is>
      </c>
      <c r="B7" s="6" t="inlineStr">
        <is>
          <t>CS</t>
        </is>
      </c>
      <c r="C7" s="6" t="inlineStr">
        <is>
          <t>Geometric Algorithms</t>
        </is>
      </c>
      <c r="D7" s="6" t="inlineStr">
        <is>
          <t>Computer Science</t>
        </is>
      </c>
      <c r="E7" s="6" t="inlineStr">
        <is>
          <t>Group B (choose)</t>
        </is>
      </c>
      <c r="F7" s="6" t="n">
        <v>100</v>
      </c>
      <c r="G7" s="6" t="n">
        <v>4</v>
      </c>
      <c r="H7" s="6" t="inlineStr"/>
      <c r="I7" s="3" t="inlineStr">
        <is>
          <t>Code/title from provided BU workbook (public catalog); description synthetic</t>
        </is>
      </c>
      <c r="J7" s="3" t="inlineStr">
        <is>
          <t>Geometric Algorithms is an introductory course in computer science. It covers vectors and matrices, linear systems, matrix factorization and eigenvalues, and builds toward least squares and geometric transformations. Students work through programming assignments, with later units on singular value decomposition and computational geometry.</t>
        </is>
      </c>
      <c r="K7" s="3" t="inlineStr">
        <is>
          <t>Explain the core ideas of vectors and matrices | Apply linear systems to solve standard problems | Analyze problems involving matrix factorization | Use eigenvalues in practical exercises | Evaluate approaches to least squares | Communicate findings about geometric transformations</t>
        </is>
      </c>
      <c r="L7" s="3" t="inlineStr">
        <is>
          <t>vectors and matrices | linear systems | matrix factorization | eigenvalues | least squares | geometric transformations | singular value decomposition | computational geometry</t>
        </is>
      </c>
    </row>
    <row r="8">
      <c r="A8" s="6" t="inlineStr">
        <is>
          <t>CAS CS 235</t>
        </is>
      </c>
      <c r="B8" s="6" t="inlineStr">
        <is>
          <t>CS</t>
        </is>
      </c>
      <c r="C8" s="6" t="inlineStr">
        <is>
          <t>Algebraic Algorithms</t>
        </is>
      </c>
      <c r="D8" s="6" t="inlineStr">
        <is>
          <t>Computer Science</t>
        </is>
      </c>
      <c r="E8" s="6" t="inlineStr">
        <is>
          <t>Group B (choose)</t>
        </is>
      </c>
      <c r="F8" s="6" t="n">
        <v>200</v>
      </c>
      <c r="G8" s="6" t="n">
        <v>4</v>
      </c>
      <c r="H8" s="6" t="inlineStr"/>
      <c r="I8" s="3" t="inlineStr">
        <is>
          <t>Code/title from provided BU workbook (public catalog); description synthetic</t>
        </is>
      </c>
      <c r="J8" s="3" t="inlineStr">
        <is>
          <t>Algebraic Algorithms is an intermediate course in computer science. It covers modular arithmetic, groups and rings, polynomials and finite fields, and builds toward public-key cryptography and error-correcting codes. Students work through programming assignments, with later units on number-theoretic algorithms and fast Fourier transform.</t>
        </is>
      </c>
      <c r="K8" s="3" t="inlineStr">
        <is>
          <t>Explain the core ideas of modular arithmetic | Apply groups and rings to solve standard problems | Analyze problems involving polynomials | Use finite fields in practical exercises | Evaluate approaches to public-key cryptography | Communicate findings about error-correcting codes</t>
        </is>
      </c>
      <c r="L8" s="3" t="inlineStr">
        <is>
          <t>modular arithmetic | groups and rings | polynomials | finite fields | public-key cryptography | error-correcting codes | number-theoretic algorithms | fast Fourier transform</t>
        </is>
      </c>
    </row>
    <row r="9">
      <c r="A9" s="6" t="inlineStr">
        <is>
          <t>CAS CS 237</t>
        </is>
      </c>
      <c r="B9" s="6" t="inlineStr">
        <is>
          <t>CS</t>
        </is>
      </c>
      <c r="C9" s="6" t="inlineStr">
        <is>
          <t>Probability in Computing</t>
        </is>
      </c>
      <c r="D9" s="6" t="inlineStr">
        <is>
          <t>Computer Science</t>
        </is>
      </c>
      <c r="E9" s="6" t="inlineStr">
        <is>
          <t>Group B (choose)</t>
        </is>
      </c>
      <c r="F9" s="6" t="n">
        <v>200</v>
      </c>
      <c r="G9" s="6" t="n">
        <v>4</v>
      </c>
      <c r="H9" s="6" t="inlineStr"/>
      <c r="I9" s="3" t="inlineStr">
        <is>
          <t>Code/title from provided BU workbook (public catalog); description synthetic</t>
        </is>
      </c>
      <c r="J9" s="3" t="inlineStr">
        <is>
          <t>Probability in Computing is an intermediate course in computer science. It covers probability axioms, random variables, expectation and variance and common distributions, and builds toward Markov chains and randomized algorithms. Students work through programming assignments, with later units on tail bounds and simulation.</t>
        </is>
      </c>
      <c r="K9" s="3" t="inlineStr">
        <is>
          <t>Explain the core ideas of probability axioms | Apply random variables to solve standard problems | Analyze problems involving expectation and variance | Use common distributions in practical exercises | Evaluate approaches to Markov chains | Communicate findings about randomized algorithms</t>
        </is>
      </c>
      <c r="L9" s="3" t="inlineStr">
        <is>
          <t>probability axioms | random variables | expectation and variance | common distributions | Markov chains | randomized algorithms | tail bounds | simulation</t>
        </is>
      </c>
    </row>
    <row r="10">
      <c r="A10" s="6" t="inlineStr">
        <is>
          <t>CAS CS 320</t>
        </is>
      </c>
      <c r="B10" s="6" t="inlineStr">
        <is>
          <t>CS</t>
        </is>
      </c>
      <c r="C10" s="6" t="inlineStr">
        <is>
          <t>Concepts of Programming Languages</t>
        </is>
      </c>
      <c r="D10" s="6" t="inlineStr">
        <is>
          <t>Computer Science</t>
        </is>
      </c>
      <c r="E10" s="6" t="inlineStr">
        <is>
          <t>Group C (BU only)</t>
        </is>
      </c>
      <c r="F10" s="6" t="n">
        <v>300</v>
      </c>
      <c r="G10" s="6" t="n">
        <v>4</v>
      </c>
      <c r="H10" s="3" t="inlineStr">
        <is>
          <t>CS Group C: must be taken at BU (requirement blocked; units may post as elective)</t>
        </is>
      </c>
      <c r="I10" s="3" t="inlineStr">
        <is>
          <t>Code/title from provided BU workbook (public catalog); description synthetic</t>
        </is>
      </c>
      <c r="J10" s="3" t="inlineStr">
        <is>
          <t>Concepts of Programming Languages is an advanced course in computer science. It covers syntax and grammars, interpreters, type systems and functional programming, and builds toward scoping and binding and parsing. Students work through programming assignments, with later units on semantics and language paradigms.</t>
        </is>
      </c>
      <c r="K10" s="3" t="inlineStr">
        <is>
          <t>Explain the core ideas of syntax and grammars | Apply interpreters to solve standard problems | Analyze problems involving type systems | Use functional programming in practical exercises | Evaluate approaches to scoping and binding | Communicate findings about parsing</t>
        </is>
      </c>
      <c r="L10" s="3" t="inlineStr">
        <is>
          <t>syntax and grammars | interpreters | type systems | functional programming | scoping and binding | parsing | semantics | language paradigms</t>
        </is>
      </c>
    </row>
    <row r="11">
      <c r="A11" s="6" t="inlineStr">
        <is>
          <t>CAS CS 332</t>
        </is>
      </c>
      <c r="B11" s="6" t="inlineStr">
        <is>
          <t>CS</t>
        </is>
      </c>
      <c r="C11" s="6" t="inlineStr">
        <is>
          <t>Elements of the Theory of Computation</t>
        </is>
      </c>
      <c r="D11" s="6" t="inlineStr">
        <is>
          <t>Computer Science</t>
        </is>
      </c>
      <c r="E11" s="6" t="inlineStr">
        <is>
          <t>Group C (BU only)</t>
        </is>
      </c>
      <c r="F11" s="6" t="n">
        <v>300</v>
      </c>
      <c r="G11" s="6" t="n">
        <v>4</v>
      </c>
      <c r="H11" s="3" t="inlineStr">
        <is>
          <t>CS Group C: must be taken at BU (requirement blocked; units may post as elective)</t>
        </is>
      </c>
      <c r="I11" s="3" t="inlineStr">
        <is>
          <t>Code/title from provided BU workbook (public catalog); description synthetic</t>
        </is>
      </c>
      <c r="J11" s="3" t="inlineStr">
        <is>
          <t>Elements of the Theory of Computation is an advanced course in computer science. It covers finite automata, regular languages, context-free grammars and pushdown automata, and builds toward Turing machines and decidability. Students work through programming assignments, with later units on reductions and complexity classes.</t>
        </is>
      </c>
      <c r="K11" s="3" t="inlineStr">
        <is>
          <t>Explain the core ideas of finite automata | Apply regular languages to solve standard problems | Analyze problems involving context-free grammars | Use pushdown automata in practical exercises | Evaluate approaches to Turing machines | Communicate findings about decidability</t>
        </is>
      </c>
      <c r="L11" s="3" t="inlineStr">
        <is>
          <t>finite automata | regular languages | context-free grammars | pushdown automata | Turing machines | decidability | reductions | complexity classes</t>
        </is>
      </c>
    </row>
    <row r="12">
      <c r="A12" s="6" t="inlineStr">
        <is>
          <t>CAS CS 350</t>
        </is>
      </c>
      <c r="B12" s="6" t="inlineStr">
        <is>
          <t>CS</t>
        </is>
      </c>
      <c r="C12" s="6" t="inlineStr">
        <is>
          <t>Fundamentals of Computing Systems</t>
        </is>
      </c>
      <c r="D12" s="6" t="inlineStr">
        <is>
          <t>Computer Science</t>
        </is>
      </c>
      <c r="E12" s="6" t="inlineStr">
        <is>
          <t>Group C (BU only)</t>
        </is>
      </c>
      <c r="F12" s="6" t="n">
        <v>300</v>
      </c>
      <c r="G12" s="6" t="n">
        <v>4</v>
      </c>
      <c r="H12" s="3" t="inlineStr">
        <is>
          <t>CS Group C: must be taken at BU (requirement blocked; units may post as elective)</t>
        </is>
      </c>
      <c r="I12" s="3" t="inlineStr">
        <is>
          <t>Code/title from provided BU workbook (public catalog); description synthetic</t>
        </is>
      </c>
      <c r="J12" s="3" t="inlineStr">
        <is>
          <t>Fundamentals of Computing Systems is an advanced course in computer science. It covers concurrency, scheduling, synchronization and queueing models, and builds toward performance analysis and operating system design. Students work through programming assignments, with later units on resource management and distributed coordination.</t>
        </is>
      </c>
      <c r="K12" s="3" t="inlineStr">
        <is>
          <t>Explain the core ideas of concurrency | Apply scheduling to solve standard problems | Analyze problems involving synchronization | Use queueing models in practical exercises | Evaluate approaches to performance analysis | Communicate findings about operating system design</t>
        </is>
      </c>
      <c r="L12" s="3" t="inlineStr">
        <is>
          <t>concurrency | scheduling | synchronization | queueing models | performance analysis | operating system design | resource management | distributed coordination</t>
        </is>
      </c>
    </row>
    <row r="13">
      <c r="A13" s="6" t="inlineStr">
        <is>
          <t>CAS CS 103</t>
        </is>
      </c>
      <c r="B13" s="6" t="inlineStr">
        <is>
          <t>CS</t>
        </is>
      </c>
      <c r="C13" s="6" t="inlineStr">
        <is>
          <t>Introduction to Internet Technologies</t>
        </is>
      </c>
      <c r="D13" s="6" t="inlineStr">
        <is>
          <t>Computer Science</t>
        </is>
      </c>
      <c r="E13" s="6" t="inlineStr">
        <is>
          <t>Elective</t>
        </is>
      </c>
      <c r="F13" s="6" t="n">
        <v>100</v>
      </c>
      <c r="G13" s="6" t="n">
        <v>4</v>
      </c>
      <c r="H13" s="6" t="inlineStr"/>
      <c r="I13" s="3" t="inlineStr">
        <is>
          <t>Fully synthetic course (not a real BU offering)</t>
        </is>
      </c>
      <c r="J13" s="3" t="inlineStr">
        <is>
          <t>Introduction to Internet Technologies is an introductory course in computer science. It covers how the internet works, HTML, CSS and web hosting, and builds toward client-server model and basic JavaScript. Students work through programming assignments, with later units on web accessibility and online privacy.</t>
        </is>
      </c>
      <c r="K13" s="3" t="inlineStr">
        <is>
          <t>Explain the core ideas of how the internet works | Apply HTML to solve standard problems | Analyze problems involving CSS | Use web hosting in practical exercises | Evaluate approaches to client-server model | Communicate findings about basic JavaScript</t>
        </is>
      </c>
      <c r="L13" s="3" t="inlineStr">
        <is>
          <t>how the internet works | HTML | CSS | web hosting | client-server model | basic JavaScript | web accessibility | online privacy</t>
        </is>
      </c>
    </row>
    <row r="14">
      <c r="A14" s="6" t="inlineStr">
        <is>
          <t>CAS CS 108</t>
        </is>
      </c>
      <c r="B14" s="6" t="inlineStr">
        <is>
          <t>CS</t>
        </is>
      </c>
      <c r="C14" s="6" t="inlineStr">
        <is>
          <t>Programming with Python</t>
        </is>
      </c>
      <c r="D14" s="6" t="inlineStr">
        <is>
          <t>Computer Science</t>
        </is>
      </c>
      <c r="E14" s="6" t="inlineStr">
        <is>
          <t>Elective</t>
        </is>
      </c>
      <c r="F14" s="6" t="n">
        <v>100</v>
      </c>
      <c r="G14" s="6" t="n">
        <v>4</v>
      </c>
      <c r="H14" s="6" t="inlineStr"/>
      <c r="I14" s="3" t="inlineStr">
        <is>
          <t>Fully synthetic course (not a real BU offering)</t>
        </is>
      </c>
      <c r="J14" s="3" t="inlineStr">
        <is>
          <t>Programming with Python is an introductory course in computer science. It covers Python syntax, control flow, functions and lists and dictionaries, and builds toward modules and libraries and file processing. Students work through programming assignments, with later units on data visualization and scripting automation.</t>
        </is>
      </c>
      <c r="K14" s="3" t="inlineStr">
        <is>
          <t>Explain the core ideas of Python syntax | Apply control flow to solve standard problems | Analyze problems involving functions | Use lists and dictionaries in practical exercises | Evaluate approaches to modules and libraries | Communicate findings about file processing</t>
        </is>
      </c>
      <c r="L14" s="3" t="inlineStr">
        <is>
          <t>Python syntax | control flow | functions | lists and dictionaries | modules and libraries | file processing | data visualization | scripting automation</t>
        </is>
      </c>
    </row>
    <row r="15">
      <c r="A15" s="6" t="inlineStr">
        <is>
          <t>CAS CS 115</t>
        </is>
      </c>
      <c r="B15" s="6" t="inlineStr">
        <is>
          <t>CS</t>
        </is>
      </c>
      <c r="C15" s="6" t="inlineStr">
        <is>
          <t>Introduction to Data Science</t>
        </is>
      </c>
      <c r="D15" s="6" t="inlineStr">
        <is>
          <t>Computer Science</t>
        </is>
      </c>
      <c r="E15" s="6" t="inlineStr">
        <is>
          <t>Elective</t>
        </is>
      </c>
      <c r="F15" s="6" t="n">
        <v>100</v>
      </c>
      <c r="G15" s="6" t="n">
        <v>4</v>
      </c>
      <c r="H15" s="6" t="inlineStr"/>
      <c r="I15" s="3" t="inlineStr">
        <is>
          <t>Fully synthetic course (not a real BU offering)</t>
        </is>
      </c>
      <c r="J15" s="3" t="inlineStr">
        <is>
          <t>Introduction to Data Science is an introductory course in computer science. It covers data collection, data cleaning, exploratory analysis and data visualization, and builds toward descriptive statistics and regression basics. Students work through programming assignments, with later units on Python notebooks and data ethics.</t>
        </is>
      </c>
      <c r="K15" s="3" t="inlineStr">
        <is>
          <t>Explain the core ideas of data collection | Apply data cleaning to solve standard problems | Analyze problems involving exploratory analysis | Use data visualization in practical exercises | Evaluate approaches to descriptive statistics | Communicate findings about regression basics</t>
        </is>
      </c>
      <c r="L15" s="3" t="inlineStr">
        <is>
          <t>data collection | data cleaning | exploratory analysis | data visualization | descriptive statistics | regression basics | Python notebooks | data ethics</t>
        </is>
      </c>
    </row>
    <row r="16">
      <c r="A16" s="6" t="inlineStr">
        <is>
          <t>CAS CS 122</t>
        </is>
      </c>
      <c r="B16" s="6" t="inlineStr">
        <is>
          <t>CS</t>
        </is>
      </c>
      <c r="C16" s="6" t="inlineStr">
        <is>
          <t>Web Development Foundations</t>
        </is>
      </c>
      <c r="D16" s="6" t="inlineStr">
        <is>
          <t>Computer Science</t>
        </is>
      </c>
      <c r="E16" s="6" t="inlineStr">
        <is>
          <t>Elective</t>
        </is>
      </c>
      <c r="F16" s="6" t="n">
        <v>100</v>
      </c>
      <c r="G16" s="6" t="n">
        <v>4</v>
      </c>
      <c r="H16" s="6" t="inlineStr"/>
      <c r="I16" s="3" t="inlineStr">
        <is>
          <t>Fully synthetic course (not a real BU offering)</t>
        </is>
      </c>
      <c r="J16" s="3" t="inlineStr">
        <is>
          <t>Web Development Foundations is an introductory course in computer science. It covers HTML, CSS, JavaScript and DOM manipulation, and builds toward responsive design and forms and validation. Students work through programming assignments, with later units on HTTP basics and version control.</t>
        </is>
      </c>
      <c r="K16" s="3" t="inlineStr">
        <is>
          <t>Explain the core ideas of HTML | Apply CSS to solve standard problems | Analyze problems involving JavaScript | Use DOM manipulation in practical exercises | Evaluate approaches to responsive design | Communicate findings about forms and validation</t>
        </is>
      </c>
      <c r="L16" s="3" t="inlineStr">
        <is>
          <t>HTML | CSS | JavaScript | DOM manipulation | responsive design | forms and validation | HTTP basics | version control</t>
        </is>
      </c>
    </row>
    <row r="17">
      <c r="A17" s="6" t="inlineStr">
        <is>
          <t>CAS CS 140</t>
        </is>
      </c>
      <c r="B17" s="6" t="inlineStr">
        <is>
          <t>CS</t>
        </is>
      </c>
      <c r="C17" s="6" t="inlineStr">
        <is>
          <t>Introduction to Cybersecurity</t>
        </is>
      </c>
      <c r="D17" s="6" t="inlineStr">
        <is>
          <t>Computer Science</t>
        </is>
      </c>
      <c r="E17" s="6" t="inlineStr">
        <is>
          <t>Elective</t>
        </is>
      </c>
      <c r="F17" s="6" t="n">
        <v>100</v>
      </c>
      <c r="G17" s="6" t="n">
        <v>4</v>
      </c>
      <c r="H17" s="6" t="inlineStr"/>
      <c r="I17" s="3" t="inlineStr">
        <is>
          <t>Fully synthetic course (not a real BU offering)</t>
        </is>
      </c>
      <c r="J17" s="3" t="inlineStr">
        <is>
          <t>Introduction to Cybersecurity is an introductory course in computer science. It covers threat models, cryptography basics, authentication and network attacks, and builds toward malware and secure coding. Students work through programming assignments, with later units on security policy and incident response.</t>
        </is>
      </c>
      <c r="K17" s="3" t="inlineStr">
        <is>
          <t>Explain the core ideas of threat models | Apply cryptography basics to solve standard problems | Analyze problems involving authentication | Use network attacks in practical exercises | Evaluate approaches to malware | Communicate findings about secure coding</t>
        </is>
      </c>
      <c r="L17" s="3" t="inlineStr">
        <is>
          <t>threat models | cryptography basics | authentication | network attacks | malware | secure coding | security policy | incident response</t>
        </is>
      </c>
    </row>
    <row r="18">
      <c r="A18" s="6" t="inlineStr">
        <is>
          <t>CAS CS 211</t>
        </is>
      </c>
      <c r="B18" s="6" t="inlineStr">
        <is>
          <t>CS</t>
        </is>
      </c>
      <c r="C18" s="6" t="inlineStr">
        <is>
          <t>Object-Oriented Software Design</t>
        </is>
      </c>
      <c r="D18" s="6" t="inlineStr">
        <is>
          <t>Computer Science</t>
        </is>
      </c>
      <c r="E18" s="6" t="inlineStr">
        <is>
          <t>Elective</t>
        </is>
      </c>
      <c r="F18" s="6" t="n">
        <v>200</v>
      </c>
      <c r="G18" s="6" t="n">
        <v>4</v>
      </c>
      <c r="H18" s="6" t="inlineStr"/>
      <c r="I18" s="3" t="inlineStr">
        <is>
          <t>Fully synthetic course (not a real BU offering)</t>
        </is>
      </c>
      <c r="J18" s="3" t="inlineStr">
        <is>
          <t>Object-Oriented Software Design is an intermediate course in computer science. It covers object-oriented programming, classes and interfaces, inheritance and design patterns, and builds toward UML modeling and unit testing. Students work through programming assignments, with later units on refactoring and version control.</t>
        </is>
      </c>
      <c r="K18" s="3" t="inlineStr">
        <is>
          <t>Explain the core ideas of object-oriented programming | Apply classes and interfaces to solve standard problems | Analyze problems involving inheritance | Use design patterns in practical exercises | Evaluate approaches to UML modeling | Communicate findings about unit testing</t>
        </is>
      </c>
      <c r="L18" s="3" t="inlineStr">
        <is>
          <t>object-oriented programming | classes and interfaces | inheritance | design patterns | UML modeling | unit testing | refactoring | version control</t>
        </is>
      </c>
    </row>
    <row r="19">
      <c r="A19" s="6" t="inlineStr">
        <is>
          <t>CAS CS 216</t>
        </is>
      </c>
      <c r="B19" s="6" t="inlineStr">
        <is>
          <t>CS</t>
        </is>
      </c>
      <c r="C19" s="6" t="inlineStr">
        <is>
          <t>Database Systems</t>
        </is>
      </c>
      <c r="D19" s="6" t="inlineStr">
        <is>
          <t>Computer Science</t>
        </is>
      </c>
      <c r="E19" s="6" t="inlineStr">
        <is>
          <t>Elective</t>
        </is>
      </c>
      <c r="F19" s="6" t="n">
        <v>200</v>
      </c>
      <c r="G19" s="6" t="n">
        <v>4</v>
      </c>
      <c r="H19" s="6" t="inlineStr"/>
      <c r="I19" s="3" t="inlineStr">
        <is>
          <t>Fully synthetic course (not a real BU offering)</t>
        </is>
      </c>
      <c r="J19" s="3" t="inlineStr">
        <is>
          <t>Database Systems is an intermediate course in computer science. It covers relational model, SQL queries, entity-relationship design and normalization, and builds toward indexing and transactions. Students work through programming assignments, with later units on query optimization and NoSQL databases.</t>
        </is>
      </c>
      <c r="K19" s="3" t="inlineStr">
        <is>
          <t>Explain the core ideas of relational model | Apply SQL queries to solve standard problems | Analyze problems involving entity-relationship design | Use normalization in practical exercises | Evaluate approaches to indexing | Communicate findings about transactions</t>
        </is>
      </c>
      <c r="L19" s="3" t="inlineStr">
        <is>
          <t>relational model | SQL queries | entity-relationship design | normalization | indexing | transactions | query optimization | NoSQL databases</t>
        </is>
      </c>
    </row>
    <row r="20">
      <c r="A20" s="6" t="inlineStr">
        <is>
          <t>CAS CS 225</t>
        </is>
      </c>
      <c r="B20" s="6" t="inlineStr">
        <is>
          <t>CS</t>
        </is>
      </c>
      <c r="C20" s="6" t="inlineStr">
        <is>
          <t>Computer Networks Fundamentals</t>
        </is>
      </c>
      <c r="D20" s="6" t="inlineStr">
        <is>
          <t>Computer Science</t>
        </is>
      </c>
      <c r="E20" s="6" t="inlineStr">
        <is>
          <t>Elective</t>
        </is>
      </c>
      <c r="F20" s="6" t="n">
        <v>200</v>
      </c>
      <c r="G20" s="6" t="n">
        <v>4</v>
      </c>
      <c r="H20" s="6" t="inlineStr"/>
      <c r="I20" s="3" t="inlineStr">
        <is>
          <t>Fully synthetic course (not a real BU offering)</t>
        </is>
      </c>
      <c r="J20" s="3" t="inlineStr">
        <is>
          <t>Computer Networks Fundamentals is an intermediate course in computer science. It covers network layers, TCP and UDP, IP addressing and routing, and builds toward the web and HTTP and wireless networks. Students work through programming assignments, with later units on network security and socket programming.</t>
        </is>
      </c>
      <c r="K20" s="3" t="inlineStr">
        <is>
          <t>Explain the core ideas of network layers | Apply TCP and UDP to solve standard problems | Analyze problems involving IP addressing | Use routing in practical exercises | Evaluate approaches to the web and HTTP | Communicate findings about wireless networks</t>
        </is>
      </c>
      <c r="L20" s="3" t="inlineStr">
        <is>
          <t>network layers | TCP and UDP | IP addressing | routing | the web and HTTP | wireless networks | network security | socket programming</t>
        </is>
      </c>
    </row>
    <row r="21">
      <c r="A21" s="6" t="inlineStr">
        <is>
          <t>CAS CS 236</t>
        </is>
      </c>
      <c r="B21" s="6" t="inlineStr">
        <is>
          <t>CS</t>
        </is>
      </c>
      <c r="C21" s="6" t="inlineStr">
        <is>
          <t>Information Security</t>
        </is>
      </c>
      <c r="D21" s="6" t="inlineStr">
        <is>
          <t>Computer Science</t>
        </is>
      </c>
      <c r="E21" s="6" t="inlineStr">
        <is>
          <t>Elective</t>
        </is>
      </c>
      <c r="F21" s="6" t="n">
        <v>200</v>
      </c>
      <c r="G21" s="6" t="n">
        <v>4</v>
      </c>
      <c r="H21" s="6" t="inlineStr"/>
      <c r="I21" s="3" t="inlineStr">
        <is>
          <t>Fully synthetic course (not a real BU offering)</t>
        </is>
      </c>
      <c r="J21" s="3" t="inlineStr">
        <is>
          <t>Information Security is an intermediate course in computer science. It covers cryptography basics, access control, authentication and software vulnerabilities, and builds toward network attacks and secure coding. Students work through programming assignments, with later units on privacy and security policy.</t>
        </is>
      </c>
      <c r="K21" s="3" t="inlineStr">
        <is>
          <t>Explain the core ideas of cryptography basics | Apply access control to solve standard problems | Analyze problems involving authentication | Use software vulnerabilities in practical exercises | Evaluate approaches to network attacks | Communicate findings about secure coding</t>
        </is>
      </c>
      <c r="L21" s="3" t="inlineStr">
        <is>
          <t>cryptography basics | access control | authentication | software vulnerabilities | network attacks | secure coding | privacy | security policy</t>
        </is>
      </c>
    </row>
    <row r="22">
      <c r="A22" s="6" t="inlineStr">
        <is>
          <t>CAS CS 240</t>
        </is>
      </c>
      <c r="B22" s="6" t="inlineStr">
        <is>
          <t>CS</t>
        </is>
      </c>
      <c r="C22" s="6" t="inlineStr">
        <is>
          <t>Introduction to Machine Learning</t>
        </is>
      </c>
      <c r="D22" s="6" t="inlineStr">
        <is>
          <t>Computer Science</t>
        </is>
      </c>
      <c r="E22" s="6" t="inlineStr">
        <is>
          <t>Elective</t>
        </is>
      </c>
      <c r="F22" s="6" t="n">
        <v>200</v>
      </c>
      <c r="G22" s="6" t="n">
        <v>4</v>
      </c>
      <c r="H22" s="6" t="inlineStr"/>
      <c r="I22" s="3" t="inlineStr">
        <is>
          <t>Fully synthetic course (not a real BU offering)</t>
        </is>
      </c>
      <c r="J22" s="3" t="inlineStr">
        <is>
          <t>Introduction to Machine Learning is an intermediate course in computer science. It covers supervised learning, linear regression, classification and model evaluation, and builds toward overfitting and regularization and clustering. Students work through programming assignments, with later units on neural networks and feature engineering.</t>
        </is>
      </c>
      <c r="K22" s="3" t="inlineStr">
        <is>
          <t>Explain the core ideas of supervised learning | Apply linear regression to solve standard problems | Analyze problems involving classification | Use model evaluation in practical exercises | Evaluate approaches to overfitting and regularization | Communicate findings about clustering</t>
        </is>
      </c>
      <c r="L22" s="3" t="inlineStr">
        <is>
          <t>supervised learning | linear regression | classification | model evaluation | overfitting and regularization | clustering | neural networks | feature engineering</t>
        </is>
      </c>
    </row>
    <row r="23">
      <c r="A23" s="6" t="inlineStr">
        <is>
          <t>CAS CS 251</t>
        </is>
      </c>
      <c r="B23" s="6" t="inlineStr">
        <is>
          <t>CS</t>
        </is>
      </c>
      <c r="C23" s="6" t="inlineStr">
        <is>
          <t>Mobile App Development</t>
        </is>
      </c>
      <c r="D23" s="6" t="inlineStr">
        <is>
          <t>Computer Science</t>
        </is>
      </c>
      <c r="E23" s="6" t="inlineStr">
        <is>
          <t>Elective</t>
        </is>
      </c>
      <c r="F23" s="6" t="n">
        <v>200</v>
      </c>
      <c r="G23" s="6" t="n">
        <v>4</v>
      </c>
      <c r="H23" s="6" t="inlineStr"/>
      <c r="I23" s="3" t="inlineStr">
        <is>
          <t>Fully synthetic course (not a real BU offering)</t>
        </is>
      </c>
      <c r="J23" s="3" t="inlineStr">
        <is>
          <t>Mobile App Development is an intermediate course in computer science. It covers mobile platforms, user interface layout, event handling and local storage, and builds toward networking APIs and app lifecycle. Students work through programming assignments, with later units on testing on devices and app deployment.</t>
        </is>
      </c>
      <c r="K23" s="3" t="inlineStr">
        <is>
          <t>Explain the core ideas of mobile platforms | Apply user interface layout to solve standard problems | Analyze problems involving event handling | Use local storage in practical exercises | Evaluate approaches to networking APIs | Communicate findings about app lifecycle</t>
        </is>
      </c>
      <c r="L23" s="3" t="inlineStr">
        <is>
          <t>mobile platforms | user interface layout | event handling | local storage | networking APIs | app lifecycle | testing on devices | app deployment</t>
        </is>
      </c>
    </row>
    <row r="24">
      <c r="A24" s="6" t="inlineStr">
        <is>
          <t>CAS CS 280</t>
        </is>
      </c>
      <c r="B24" s="6" t="inlineStr">
        <is>
          <t>CS</t>
        </is>
      </c>
      <c r="C24" s="6" t="inlineStr">
        <is>
          <t>Human-Computer Interaction</t>
        </is>
      </c>
      <c r="D24" s="6" t="inlineStr">
        <is>
          <t>Computer Science</t>
        </is>
      </c>
      <c r="E24" s="6" t="inlineStr">
        <is>
          <t>Elective</t>
        </is>
      </c>
      <c r="F24" s="6" t="n">
        <v>200</v>
      </c>
      <c r="G24" s="6" t="n">
        <v>4</v>
      </c>
      <c r="H24" s="6" t="inlineStr"/>
      <c r="I24" s="3" t="inlineStr">
        <is>
          <t>Fully synthetic course (not a real BU offering)</t>
        </is>
      </c>
      <c r="J24" s="3" t="inlineStr">
        <is>
          <t>Human-Computer Interaction is an intermediate course in computer science. It covers user-centered design, usability testing, prototyping and interaction design, and builds toward accessibility and cognitive models. Students work through programming assignments, with later units on visual design and user research.</t>
        </is>
      </c>
      <c r="K24" s="3" t="inlineStr">
        <is>
          <t>Explain the core ideas of user-centered design | Apply usability testing to solve standard problems | Analyze problems involving prototyping | Use interaction design in practical exercises | Evaluate approaches to accessibility | Communicate findings about cognitive models</t>
        </is>
      </c>
      <c r="L24" s="3" t="inlineStr">
        <is>
          <t>user-centered design | usability testing | prototyping | interaction design | accessibility | cognitive models | visual design | user research</t>
        </is>
      </c>
    </row>
    <row r="25">
      <c r="A25" s="6" t="inlineStr">
        <is>
          <t>CAS CS 341</t>
        </is>
      </c>
      <c r="B25" s="6" t="inlineStr">
        <is>
          <t>CS</t>
        </is>
      </c>
      <c r="C25" s="6" t="inlineStr">
        <is>
          <t>Software Engineering</t>
        </is>
      </c>
      <c r="D25" s="6" t="inlineStr">
        <is>
          <t>Computer Science</t>
        </is>
      </c>
      <c r="E25" s="6" t="inlineStr">
        <is>
          <t>Elective</t>
        </is>
      </c>
      <c r="F25" s="6" t="n">
        <v>300</v>
      </c>
      <c r="G25" s="6" t="n">
        <v>4</v>
      </c>
      <c r="H25" s="6" t="inlineStr"/>
      <c r="I25" s="3" t="inlineStr">
        <is>
          <t>Fully synthetic course (not a real BU offering)</t>
        </is>
      </c>
      <c r="J25" s="3" t="inlineStr">
        <is>
          <t>Software Engineering is an advanced course in computer science. It covers software development lifecycle, requirements analysis, agile methods and software architecture, and builds toward testing strategies and version control. Students work through programming assignments, with later units on code review and team projects.</t>
        </is>
      </c>
      <c r="K25" s="3" t="inlineStr">
        <is>
          <t>Explain the core ideas of software development lifecycle | Apply requirements analysis to solve standard problems | Analyze problems involving agile methods | Use software architecture in practical exercises | Evaluate approaches to testing strategies | Communicate findings about version control</t>
        </is>
      </c>
      <c r="L25" s="3" t="inlineStr">
        <is>
          <t>software development lifecycle | requirements analysis | agile methods | software architecture | testing strategies | version control | code review | team projects</t>
        </is>
      </c>
    </row>
    <row r="26">
      <c r="A26" s="6" t="inlineStr">
        <is>
          <t>CAS CS 351</t>
        </is>
      </c>
      <c r="B26" s="6" t="inlineStr">
        <is>
          <t>CS</t>
        </is>
      </c>
      <c r="C26" s="6" t="inlineStr">
        <is>
          <t>Distributed Systems</t>
        </is>
      </c>
      <c r="D26" s="6" t="inlineStr">
        <is>
          <t>Computer Science</t>
        </is>
      </c>
      <c r="E26" s="6" t="inlineStr">
        <is>
          <t>Elective</t>
        </is>
      </c>
      <c r="F26" s="6" t="n">
        <v>300</v>
      </c>
      <c r="G26" s="6" t="n">
        <v>4</v>
      </c>
      <c r="H26" s="6" t="inlineStr"/>
      <c r="I26" s="3" t="inlineStr">
        <is>
          <t>Fully synthetic course (not a real BU offering)</t>
        </is>
      </c>
      <c r="J26" s="3" t="inlineStr">
        <is>
          <t>Distributed Systems is an advanced course in computer science. It covers distributed coordination, consistency models, replication and fault tolerance, and builds toward consensus and remote procedure calls. Students work through programming assignments, with later units on cloud services and scalability.</t>
        </is>
      </c>
      <c r="K26" s="3" t="inlineStr">
        <is>
          <t>Explain the core ideas of distributed coordination | Apply consistency models to solve standard problems | Analyze problems involving replication | Use fault tolerance in practical exercises | Evaluate approaches to consensus | Communicate findings about remote procedure calls</t>
        </is>
      </c>
      <c r="L26" s="3" t="inlineStr">
        <is>
          <t>distributed coordination | consistency models | replication | fault tolerance | consensus | remote procedure calls | cloud services | scalability</t>
        </is>
      </c>
    </row>
    <row r="27">
      <c r="A27" s="6" t="inlineStr">
        <is>
          <t>CAS CS 365</t>
        </is>
      </c>
      <c r="B27" s="6" t="inlineStr">
        <is>
          <t>CS</t>
        </is>
      </c>
      <c r="C27" s="6" t="inlineStr">
        <is>
          <t>Computer Graphics</t>
        </is>
      </c>
      <c r="D27" s="6" t="inlineStr">
        <is>
          <t>Computer Science</t>
        </is>
      </c>
      <c r="E27" s="6" t="inlineStr">
        <is>
          <t>Elective</t>
        </is>
      </c>
      <c r="F27" s="6" t="n">
        <v>300</v>
      </c>
      <c r="G27" s="6" t="n">
        <v>4</v>
      </c>
      <c r="H27" s="6" t="inlineStr"/>
      <c r="I27" s="3" t="inlineStr">
        <is>
          <t>Fully synthetic course (not a real BU offering)</t>
        </is>
      </c>
      <c r="J27" s="3" t="inlineStr">
        <is>
          <t>Computer Graphics is an advanced course in computer science. It covers rasterization, geometric transformations, shading and lighting and texture mapping, and builds toward 3D modeling and GPU programming. Students work through programming assignments, with later units on ray tracing and animation.</t>
        </is>
      </c>
      <c r="K27" s="3" t="inlineStr">
        <is>
          <t>Explain the core ideas of rasterization | Apply geometric transformations to solve standard problems | Analyze problems involving shading and lighting | Use texture mapping in practical exercises | Evaluate approaches to 3D modeling | Communicate findings about GPU programming</t>
        </is>
      </c>
      <c r="L27" s="3" t="inlineStr">
        <is>
          <t>rasterization | geometric transformations | shading and lighting | texture mapping | 3D modeling | GPU programming | ray tracing | animation</t>
        </is>
      </c>
    </row>
    <row r="28">
      <c r="A28" s="6" t="inlineStr">
        <is>
          <t>CAS CS 372</t>
        </is>
      </c>
      <c r="B28" s="6" t="inlineStr">
        <is>
          <t>CS</t>
        </is>
      </c>
      <c r="C28" s="6" t="inlineStr">
        <is>
          <t>Artificial Intelligence</t>
        </is>
      </c>
      <c r="D28" s="6" t="inlineStr">
        <is>
          <t>Computer Science</t>
        </is>
      </c>
      <c r="E28" s="6" t="inlineStr">
        <is>
          <t>Elective</t>
        </is>
      </c>
      <c r="F28" s="6" t="n">
        <v>300</v>
      </c>
      <c r="G28" s="6" t="n">
        <v>4</v>
      </c>
      <c r="H28" s="6" t="inlineStr"/>
      <c r="I28" s="3" t="inlineStr">
        <is>
          <t>Fully synthetic course (not a real BU offering)</t>
        </is>
      </c>
      <c r="J28" s="3" t="inlineStr">
        <is>
          <t>Artificial Intelligence is an advanced course in computer science. It covers search algorithms, knowledge representation, planning and probabilistic reasoning, and builds toward machine learning basics and game playing. Students work through programming assignments, with later units on natural language processing and AI ethics.</t>
        </is>
      </c>
      <c r="K28" s="3" t="inlineStr">
        <is>
          <t>Explain the core ideas of search algorithms | Apply knowledge representation to solve standard problems | Analyze problems involving planning | Use probabilistic reasoning in practical exercises | Evaluate approaches to machine learning basics | Communicate findings about game playing</t>
        </is>
      </c>
      <c r="L28" s="3" t="inlineStr">
        <is>
          <t>search algorithms | knowledge representation | planning | probabilistic reasoning | machine learning basics | game playing | natural language processing | AI ethics</t>
        </is>
      </c>
    </row>
    <row r="29">
      <c r="A29" s="6" t="inlineStr">
        <is>
          <t>CAS CS 390</t>
        </is>
      </c>
      <c r="B29" s="6" t="inlineStr">
        <is>
          <t>CS</t>
        </is>
      </c>
      <c r="C29" s="6" t="inlineStr">
        <is>
          <t>Cloud Computing</t>
        </is>
      </c>
      <c r="D29" s="6" t="inlineStr">
        <is>
          <t>Computer Science</t>
        </is>
      </c>
      <c r="E29" s="6" t="inlineStr">
        <is>
          <t>Elective</t>
        </is>
      </c>
      <c r="F29" s="6" t="n">
        <v>300</v>
      </c>
      <c r="G29" s="6" t="n">
        <v>4</v>
      </c>
      <c r="H29" s="6" t="inlineStr"/>
      <c r="I29" s="3" t="inlineStr">
        <is>
          <t>Fully synthetic course (not a real BU offering)</t>
        </is>
      </c>
      <c r="J29" s="3" t="inlineStr">
        <is>
          <t>Cloud Computing is an advanced course in computer science. It covers virtualization, containers, cloud services and scalability, and builds toward distributed storage and serverless computing. Students work through programming assignments, with later units on cloud security and infrastructure as code.</t>
        </is>
      </c>
      <c r="K29" s="3" t="inlineStr">
        <is>
          <t>Explain the core ideas of virtualization | Apply containers to solve standard problems | Analyze problems involving cloud services | Use scalability in practical exercises | Evaluate approaches to distributed storage | Communicate findings about serverless computing</t>
        </is>
      </c>
      <c r="L29" s="3" t="inlineStr">
        <is>
          <t>virtualization | containers | cloud services | scalability | distributed storage | serverless computing | cloud security | infrastructure as code</t>
        </is>
      </c>
    </row>
    <row r="30">
      <c r="A30" s="6" t="inlineStr">
        <is>
          <t>CAS CS 395</t>
        </is>
      </c>
      <c r="B30" s="6" t="inlineStr">
        <is>
          <t>CS</t>
        </is>
      </c>
      <c r="C30" s="6" t="inlineStr">
        <is>
          <t>Compiler Design</t>
        </is>
      </c>
      <c r="D30" s="6" t="inlineStr">
        <is>
          <t>Computer Science</t>
        </is>
      </c>
      <c r="E30" s="6" t="inlineStr">
        <is>
          <t>Elective</t>
        </is>
      </c>
      <c r="F30" s="6" t="n">
        <v>300</v>
      </c>
      <c r="G30" s="6" t="n">
        <v>4</v>
      </c>
      <c r="H30" s="6" t="inlineStr"/>
      <c r="I30" s="3" t="inlineStr">
        <is>
          <t>Fully synthetic course (not a real BU offering)</t>
        </is>
      </c>
      <c r="J30" s="3" t="inlineStr">
        <is>
          <t>Compiler Design is an advanced course in computer science. It covers lexical analysis, parsing, syntax and grammars and semantic analysis, and builds toward intermediate representations and code generation. Students work through programming assignments, with later units on optimization and runtime environments.</t>
        </is>
      </c>
      <c r="K30" s="3" t="inlineStr">
        <is>
          <t>Explain the core ideas of lexical analysis | Apply parsing to solve standard problems | Analyze problems involving syntax and grammars | Use semantic analysis in practical exercises | Evaluate approaches to intermediate representations | Communicate findings about code generation</t>
        </is>
      </c>
      <c r="L30" s="3" t="inlineStr">
        <is>
          <t>lexical analysis | parsing | syntax and grammars | semantic analysis | intermediate representations | code generation | optimization | runtime environments</t>
        </is>
      </c>
    </row>
    <row r="31">
      <c r="A31" s="6" t="inlineStr">
        <is>
          <t>CAS CS 355</t>
        </is>
      </c>
      <c r="B31" s="6" t="inlineStr">
        <is>
          <t>CS</t>
        </is>
      </c>
      <c r="C31" s="6" t="inlineStr">
        <is>
          <t>Data Mining</t>
        </is>
      </c>
      <c r="D31" s="6" t="inlineStr">
        <is>
          <t>Computer Science</t>
        </is>
      </c>
      <c r="E31" s="6" t="inlineStr">
        <is>
          <t>Elective</t>
        </is>
      </c>
      <c r="F31" s="6" t="n">
        <v>300</v>
      </c>
      <c r="G31" s="6" t="n">
        <v>4</v>
      </c>
      <c r="H31" s="6" t="inlineStr"/>
      <c r="I31" s="3" t="inlineStr">
        <is>
          <t>Fully synthetic course (not a real BU offering)</t>
        </is>
      </c>
      <c r="J31" s="3" t="inlineStr">
        <is>
          <t>Data Mining is an advanced course in computer science. It covers data preprocessing, association rules, classification and clustering, and builds toward anomaly detection and dimensionality reduction. Students work through programming assignments, with later units on model evaluation and data ethics.</t>
        </is>
      </c>
      <c r="K31" s="3" t="inlineStr">
        <is>
          <t>Explain the core ideas of data preprocessing | Apply association rules to solve standard problems | Analyze problems involving classification | Use clustering in practical exercises | Evaluate approaches to anomaly detection | Communicate findings about dimensionality reduction</t>
        </is>
      </c>
      <c r="L31" s="3" t="inlineStr">
        <is>
          <t>data preprocessing | association rules | classification | clustering | anomaly detection | dimensionality reduction | model evaluation | data ethics</t>
        </is>
      </c>
    </row>
    <row r="32">
      <c r="A32" s="6" t="inlineStr">
        <is>
          <t>CAS EC 101</t>
        </is>
      </c>
      <c r="B32" s="6" t="inlineStr">
        <is>
          <t>EC</t>
        </is>
      </c>
      <c r="C32" s="6" t="inlineStr">
        <is>
          <t>Introductory Microeconomic Analysis</t>
        </is>
      </c>
      <c r="D32" s="6" t="inlineStr">
        <is>
          <t>Economics</t>
        </is>
      </c>
      <c r="E32" s="6" t="inlineStr">
        <is>
          <t>Intro</t>
        </is>
      </c>
      <c r="F32" s="6" t="n">
        <v>100</v>
      </c>
      <c r="G32" s="6" t="n">
        <v>4</v>
      </c>
      <c r="H32" s="6" t="inlineStr"/>
      <c r="I32" s="3" t="inlineStr">
        <is>
          <t>Code/title from provided BU workbook (public catalog); description synthetic</t>
        </is>
      </c>
      <c r="J32" s="3" t="inlineStr">
        <is>
          <t>Introductory Microeconomic Analysis is an introductory course in economics. It covers scarcity and opportunity cost, supply and demand, elasticity and consumer choice, and builds toward production and costs and perfect competition. Students work through data and policy exercises, with later units on monopoly and market failure.</t>
        </is>
      </c>
      <c r="K32" s="3" t="inlineStr">
        <is>
          <t>Explain the core ideas of scarcity and opportunity cost | Apply supply and demand to solve standard problems | Analyze problems involving elasticity | Use consumer choice in practical exercises | Evaluate approaches to production and costs | Communicate findings about perfect competition</t>
        </is>
      </c>
      <c r="L32" s="3" t="inlineStr">
        <is>
          <t>scarcity and opportunity cost | supply and demand | elasticity | consumer choice | production and costs | perfect competition | monopoly | market failure</t>
        </is>
      </c>
    </row>
    <row r="33">
      <c r="A33" s="6" t="inlineStr">
        <is>
          <t>CAS EC 102</t>
        </is>
      </c>
      <c r="B33" s="6" t="inlineStr">
        <is>
          <t>EC</t>
        </is>
      </c>
      <c r="C33" s="6" t="inlineStr">
        <is>
          <t>Introductory Macroeconomic Analysis</t>
        </is>
      </c>
      <c r="D33" s="6" t="inlineStr">
        <is>
          <t>Economics</t>
        </is>
      </c>
      <c r="E33" s="6" t="inlineStr">
        <is>
          <t>Intro</t>
        </is>
      </c>
      <c r="F33" s="6" t="n">
        <v>100</v>
      </c>
      <c r="G33" s="6" t="n">
        <v>4</v>
      </c>
      <c r="H33" s="6" t="inlineStr"/>
      <c r="I33" s="3" t="inlineStr">
        <is>
          <t>Code/title from provided BU workbook (public catalog); description synthetic</t>
        </is>
      </c>
      <c r="J33" s="3" t="inlineStr">
        <is>
          <t>Introductory Macroeconomic Analysis is an introductory course in economics. It covers GDP measurement, unemployment, inflation and aggregate demand and supply, and builds toward fiscal policy and monetary policy. Students work through data and policy exercises, with later units on economic growth and international trade basics.</t>
        </is>
      </c>
      <c r="K33" s="3" t="inlineStr">
        <is>
          <t>Explain the core ideas of GDP measurement | Apply unemployment to solve standard problems | Analyze problems involving inflation | Use aggregate demand and supply in practical exercises | Evaluate approaches to fiscal policy | Communicate findings about monetary policy</t>
        </is>
      </c>
      <c r="L33" s="3" t="inlineStr">
        <is>
          <t>GDP measurement | unemployment | inflation | aggregate demand and supply | fiscal policy | monetary policy | economic growth | international trade basics</t>
        </is>
      </c>
    </row>
    <row r="34">
      <c r="A34" s="6" t="inlineStr">
        <is>
          <t>CAS EC 201</t>
        </is>
      </c>
      <c r="B34" s="6" t="inlineStr">
        <is>
          <t>EC</t>
        </is>
      </c>
      <c r="C34" s="6" t="inlineStr">
        <is>
          <t>Intermediate Microeconomic Analysis</t>
        </is>
      </c>
      <c r="D34" s="6" t="inlineStr">
        <is>
          <t>Economics</t>
        </is>
      </c>
      <c r="E34" s="6" t="inlineStr">
        <is>
          <t>Core (200+ cap)</t>
        </is>
      </c>
      <c r="F34" s="6" t="n">
        <v>200</v>
      </c>
      <c r="G34" s="6" t="n">
        <v>4</v>
      </c>
      <c r="H34" s="3" t="inlineStr">
        <is>
          <t>Economics: max four 200+ level courses transferred after matriculation</t>
        </is>
      </c>
      <c r="I34" s="3" t="inlineStr">
        <is>
          <t>Code/title from provided BU workbook (public catalog); description synthetic</t>
        </is>
      </c>
      <c r="J34" s="3" t="inlineStr">
        <is>
          <t>Intermediate Microeconomic Analysis is an intermediate course in economics. It covers consumer theory, utility maximization, producer theory and cost minimization, and builds toward general equilibrium and welfare economics. Students work through data and policy exercises, with later units on game theory basics and market structures.</t>
        </is>
      </c>
      <c r="K34" s="3" t="inlineStr">
        <is>
          <t>Explain the core ideas of consumer theory | Apply utility maximization to solve standard problems | Analyze problems involving producer theory | Use cost minimization in practical exercises | Evaluate approaches to general equilibrium | Communicate findings about welfare economics</t>
        </is>
      </c>
      <c r="L34" s="3" t="inlineStr">
        <is>
          <t>consumer theory | utility maximization | producer theory | cost minimization | general equilibrium | welfare economics | game theory basics | market structures</t>
        </is>
      </c>
    </row>
    <row r="35">
      <c r="A35" s="6" t="inlineStr">
        <is>
          <t>CAS EC 202</t>
        </is>
      </c>
      <c r="B35" s="6" t="inlineStr">
        <is>
          <t>EC</t>
        </is>
      </c>
      <c r="C35" s="6" t="inlineStr">
        <is>
          <t>Intermediate Macroeconomic Analysis</t>
        </is>
      </c>
      <c r="D35" s="6" t="inlineStr">
        <is>
          <t>Economics</t>
        </is>
      </c>
      <c r="E35" s="6" t="inlineStr">
        <is>
          <t>Core (200+ cap)</t>
        </is>
      </c>
      <c r="F35" s="6" t="n">
        <v>200</v>
      </c>
      <c r="G35" s="6" t="n">
        <v>4</v>
      </c>
      <c r="H35" s="3" t="inlineStr">
        <is>
          <t>Economics: max four 200+ level courses transferred after matriculation</t>
        </is>
      </c>
      <c r="I35" s="3" t="inlineStr">
        <is>
          <t>Code/title from provided BU workbook (public catalog); description synthetic</t>
        </is>
      </c>
      <c r="J35" s="3" t="inlineStr">
        <is>
          <t>Intermediate Macroeconomic Analysis is an intermediate course in economics. It covers long-run growth models, IS-LM model, labor markets and consumption and saving, and builds toward investment and open-economy macroeconomics. Students work through data and policy exercises, with later units on monetary policy rules and business cycles.</t>
        </is>
      </c>
      <c r="K35" s="3" t="inlineStr">
        <is>
          <t>Explain the core ideas of long-run growth models | Apply IS-LM model to solve standard problems | Analyze problems involving labor markets | Use consumption and saving in practical exercises | Evaluate approaches to investment | Communicate findings about open-economy macroeconomics</t>
        </is>
      </c>
      <c r="L35" s="3" t="inlineStr">
        <is>
          <t>long-run growth models | IS-LM model | labor markets | consumption and saving | investment | open-economy macroeconomics | monetary policy rules | business cycles</t>
        </is>
      </c>
    </row>
    <row r="36">
      <c r="A36" s="6" t="inlineStr">
        <is>
          <t>CAS EC 203</t>
        </is>
      </c>
      <c r="B36" s="6" t="inlineStr">
        <is>
          <t>EC</t>
        </is>
      </c>
      <c r="C36" s="6" t="inlineStr">
        <is>
          <t>Empirical Economics 1</t>
        </is>
      </c>
      <c r="D36" s="6" t="inlineStr">
        <is>
          <t>Economics</t>
        </is>
      </c>
      <c r="E36" s="6" t="inlineStr">
        <is>
          <t>Core (200+ cap)</t>
        </is>
      </c>
      <c r="F36" s="6" t="n">
        <v>200</v>
      </c>
      <c r="G36" s="6" t="n">
        <v>4</v>
      </c>
      <c r="H36" s="3" t="inlineStr">
        <is>
          <t>Economics: max four 200+ level courses transferred after matriculation</t>
        </is>
      </c>
      <c r="I36" s="3" t="inlineStr">
        <is>
          <t>Code/title from provided BU workbook (public catalog); description synthetic</t>
        </is>
      </c>
      <c r="J36" s="3" t="inlineStr">
        <is>
          <t>Empirical Economics 1 is an intermediate course in economics. It covers descriptive statistics, probability distributions, sampling and confidence intervals, and builds toward hypothesis testing and simple regression. Students work through data and policy exercises, with later units on statistical software and data interpretation.</t>
        </is>
      </c>
      <c r="K36" s="3" t="inlineStr">
        <is>
          <t>Explain the core ideas of descriptive statistics | Apply probability distributions to solve standard problems | Analyze problems involving sampling | Use confidence intervals in practical exercises | Evaluate approaches to hypothesis testing | Communicate findings about simple regression</t>
        </is>
      </c>
      <c r="L36" s="3" t="inlineStr">
        <is>
          <t>descriptive statistics | probability distributions | sampling | confidence intervals | hypothesis testing | simple regression | statistical software | data interpretation</t>
        </is>
      </c>
    </row>
    <row r="37">
      <c r="A37" s="6" t="inlineStr">
        <is>
          <t>CAS EC 204</t>
        </is>
      </c>
      <c r="B37" s="6" t="inlineStr">
        <is>
          <t>EC</t>
        </is>
      </c>
      <c r="C37" s="6" t="inlineStr">
        <is>
          <t>Empirical Economics 2</t>
        </is>
      </c>
      <c r="D37" s="6" t="inlineStr">
        <is>
          <t>Economics</t>
        </is>
      </c>
      <c r="E37" s="6" t="inlineStr">
        <is>
          <t>Core (200+ cap)</t>
        </is>
      </c>
      <c r="F37" s="6" t="n">
        <v>200</v>
      </c>
      <c r="G37" s="6" t="n">
        <v>4</v>
      </c>
      <c r="H37" s="3" t="inlineStr">
        <is>
          <t>Economics: max four 200+ level courses transferred after matriculation</t>
        </is>
      </c>
      <c r="I37" s="3" t="inlineStr">
        <is>
          <t>Code/title from provided BU workbook (public catalog); description synthetic</t>
        </is>
      </c>
      <c r="J37" s="3" t="inlineStr">
        <is>
          <t>Empirical Economics 2 is an intermediate course in economics. It covers multiple regression, omitted variable bias, dummy variables and heteroskedasticity, and builds toward instrumental variables and panel data. Students work through data and policy exercises, with later units on causal inference and statistical software.</t>
        </is>
      </c>
      <c r="K37" s="3" t="inlineStr">
        <is>
          <t>Explain the core ideas of multiple regression | Apply omitted variable bias to solve standard problems | Analyze problems involving dummy variables | Use heteroskedasticity in practical exercises | Evaluate approaches to instrumental variables | Communicate findings about panel data</t>
        </is>
      </c>
      <c r="L37" s="3" t="inlineStr">
        <is>
          <t>multiple regression | omitted variable bias | dummy variables | heteroskedasticity | instrumental variables | panel data | causal inference | statistical software</t>
        </is>
      </c>
    </row>
    <row r="38">
      <c r="A38" s="6" t="inlineStr">
        <is>
          <t>CAS EC 110</t>
        </is>
      </c>
      <c r="B38" s="6" t="inlineStr">
        <is>
          <t>EC</t>
        </is>
      </c>
      <c r="C38" s="6" t="inlineStr">
        <is>
          <t>Economics of Everyday Life</t>
        </is>
      </c>
      <c r="D38" s="6" t="inlineStr">
        <is>
          <t>Economics</t>
        </is>
      </c>
      <c r="E38" s="6" t="inlineStr">
        <is>
          <t>Elective</t>
        </is>
      </c>
      <c r="F38" s="6" t="n">
        <v>100</v>
      </c>
      <c r="G38" s="6" t="n">
        <v>4</v>
      </c>
      <c r="H38" s="6" t="inlineStr"/>
      <c r="I38" s="3" t="inlineStr">
        <is>
          <t>Fully synthetic course (not a real BU offering)</t>
        </is>
      </c>
      <c r="J38" s="3" t="inlineStr">
        <is>
          <t>Economics of Everyday Life is an introductory course in economics. It covers opportunity cost, incentives, personal finance and housing markets, and builds toward labor markets and health care choices. Students work through data and policy exercises, with later units on behavioral biases and public policy.</t>
        </is>
      </c>
      <c r="K38" s="3" t="inlineStr">
        <is>
          <t>Explain the core ideas of opportunity cost | Apply incentives to solve standard problems | Analyze problems involving personal finance | Use housing markets in practical exercises | Evaluate approaches to labor markets | Communicate findings about health care choices</t>
        </is>
      </c>
      <c r="L38" s="3" t="inlineStr">
        <is>
          <t>opportunity cost | incentives | personal finance | housing markets | labor markets | health care choices | behavioral biases | public policy</t>
        </is>
      </c>
    </row>
    <row r="39">
      <c r="A39" s="6" t="inlineStr">
        <is>
          <t>CAS EC 220</t>
        </is>
      </c>
      <c r="B39" s="6" t="inlineStr">
        <is>
          <t>EC</t>
        </is>
      </c>
      <c r="C39" s="6" t="inlineStr">
        <is>
          <t>Money and Banking</t>
        </is>
      </c>
      <c r="D39" s="6" t="inlineStr">
        <is>
          <t>Economics</t>
        </is>
      </c>
      <c r="E39" s="6" t="inlineStr">
        <is>
          <t>Elective (200+ cap)</t>
        </is>
      </c>
      <c r="F39" s="6" t="n">
        <v>200</v>
      </c>
      <c r="G39" s="6" t="n">
        <v>4</v>
      </c>
      <c r="H39" s="3" t="inlineStr">
        <is>
          <t>Economics: max four 200+ level courses transferred after matriculation</t>
        </is>
      </c>
      <c r="I39" s="3" t="inlineStr">
        <is>
          <t>Fully synthetic course (not a real BU offering)</t>
        </is>
      </c>
      <c r="J39" s="3" t="inlineStr">
        <is>
          <t>Money and Banking is an intermediate course in economics. It covers money supply, banking system, central banking and interest rates, and builds toward financial markets and monetary policy. Students work through data and policy exercises, with later units on financial crises and bank regulation.</t>
        </is>
      </c>
      <c r="K39" s="3" t="inlineStr">
        <is>
          <t>Explain the core ideas of money supply | Apply banking system to solve standard problems | Analyze problems involving central banking | Use interest rates in practical exercises | Evaluate approaches to financial markets | Communicate findings about monetary policy</t>
        </is>
      </c>
      <c r="L39" s="3" t="inlineStr">
        <is>
          <t>money supply | banking system | central banking | interest rates | financial markets | monetary policy | financial crises | bank regulation</t>
        </is>
      </c>
    </row>
    <row r="40">
      <c r="A40" s="6" t="inlineStr">
        <is>
          <t>CAS EC 230</t>
        </is>
      </c>
      <c r="B40" s="6" t="inlineStr">
        <is>
          <t>EC</t>
        </is>
      </c>
      <c r="C40" s="6" t="inlineStr">
        <is>
          <t>Public Finance</t>
        </is>
      </c>
      <c r="D40" s="6" t="inlineStr">
        <is>
          <t>Economics</t>
        </is>
      </c>
      <c r="E40" s="6" t="inlineStr">
        <is>
          <t>Elective (200+ cap)</t>
        </is>
      </c>
      <c r="F40" s="6" t="n">
        <v>200</v>
      </c>
      <c r="G40" s="6" t="n">
        <v>4</v>
      </c>
      <c r="H40" s="3" t="inlineStr">
        <is>
          <t>Economics: max four 200+ level courses transferred after matriculation</t>
        </is>
      </c>
      <c r="I40" s="3" t="inlineStr">
        <is>
          <t>Fully synthetic course (not a real BU offering)</t>
        </is>
      </c>
      <c r="J40" s="3" t="inlineStr">
        <is>
          <t>Public Finance is an intermediate course in economics. It covers public goods, externalities, taxation and tax incidence, and builds toward social insurance and government spending. Students work through data and policy exercises, with later units on cost-benefit analysis and fiscal federalism.</t>
        </is>
      </c>
      <c r="K40" s="3" t="inlineStr">
        <is>
          <t>Explain the core ideas of public goods | Apply externalities to solve standard problems | Analyze problems involving taxation | Use tax incidence in practical exercises | Evaluate approaches to social insurance | Communicate findings about government spending</t>
        </is>
      </c>
      <c r="L40" s="3" t="inlineStr">
        <is>
          <t>public goods | externalities | taxation | tax incidence | social insurance | government spending | cost-benefit analysis | fiscal federalism</t>
        </is>
      </c>
    </row>
    <row r="41">
      <c r="A41" s="6" t="inlineStr">
        <is>
          <t>CAS EC 240</t>
        </is>
      </c>
      <c r="B41" s="6" t="inlineStr">
        <is>
          <t>EC</t>
        </is>
      </c>
      <c r="C41" s="6" t="inlineStr">
        <is>
          <t>Labor Economics</t>
        </is>
      </c>
      <c r="D41" s="6" t="inlineStr">
        <is>
          <t>Economics</t>
        </is>
      </c>
      <c r="E41" s="6" t="inlineStr">
        <is>
          <t>Elective (200+ cap)</t>
        </is>
      </c>
      <c r="F41" s="6" t="n">
        <v>200</v>
      </c>
      <c r="G41" s="6" t="n">
        <v>4</v>
      </c>
      <c r="H41" s="3" t="inlineStr">
        <is>
          <t>Economics: max four 200+ level courses transferred after matriculation</t>
        </is>
      </c>
      <c r="I41" s="3" t="inlineStr">
        <is>
          <t>Fully synthetic course (not a real BU offering)</t>
        </is>
      </c>
      <c r="J41" s="3" t="inlineStr">
        <is>
          <t>Labor Economics is an intermediate course in economics. It covers labor supply, labor demand, wage determination and human capital, and builds toward discrimination and unions. Students work through data and policy exercises, with later units on minimum wage and unemployment.</t>
        </is>
      </c>
      <c r="K41" s="3" t="inlineStr">
        <is>
          <t>Explain the core ideas of labor supply | Apply labor demand to solve standard problems | Analyze problems involving wage determination | Use human capital in practical exercises | Evaluate approaches to discrimination | Communicate findings about unions</t>
        </is>
      </c>
      <c r="L41" s="3" t="inlineStr">
        <is>
          <t>labor supply | labor demand | wage determination | human capital | discrimination | unions | minimum wage | unemployment</t>
        </is>
      </c>
    </row>
    <row r="42">
      <c r="A42" s="6" t="inlineStr">
        <is>
          <t>CAS EC 250</t>
        </is>
      </c>
      <c r="B42" s="6" t="inlineStr">
        <is>
          <t>EC</t>
        </is>
      </c>
      <c r="C42" s="6" t="inlineStr">
        <is>
          <t>International Trade</t>
        </is>
      </c>
      <c r="D42" s="6" t="inlineStr">
        <is>
          <t>Economics</t>
        </is>
      </c>
      <c r="E42" s="6" t="inlineStr">
        <is>
          <t>Elective (200+ cap)</t>
        </is>
      </c>
      <c r="F42" s="6" t="n">
        <v>200</v>
      </c>
      <c r="G42" s="6" t="n">
        <v>4</v>
      </c>
      <c r="H42" s="3" t="inlineStr">
        <is>
          <t>Economics: max four 200+ level courses transferred after matriculation</t>
        </is>
      </c>
      <c r="I42" s="3" t="inlineStr">
        <is>
          <t>Fully synthetic course (not a real BU offering)</t>
        </is>
      </c>
      <c r="J42" s="3" t="inlineStr">
        <is>
          <t>International Trade is an intermediate course in economics. It covers comparative advantage, trade models, tariffs and quotas and trade agreements, and builds toward globalization and exchange rates. Students work through data and policy exercises, with later units on trade and inequality and multinational firms.</t>
        </is>
      </c>
      <c r="K42" s="3" t="inlineStr">
        <is>
          <t>Explain the core ideas of comparative advantage | Apply trade models to solve standard problems | Analyze problems involving tariffs and quotas | Use trade agreements in practical exercises | Evaluate approaches to globalization | Communicate findings about exchange rates</t>
        </is>
      </c>
      <c r="L42" s="3" t="inlineStr">
        <is>
          <t>comparative advantage | trade models | tariffs and quotas | trade agreements | globalization | exchange rates | trade and inequality | multinational firms</t>
        </is>
      </c>
    </row>
    <row r="43">
      <c r="A43" s="6" t="inlineStr">
        <is>
          <t>CAS EC 260</t>
        </is>
      </c>
      <c r="B43" s="6" t="inlineStr">
        <is>
          <t>EC</t>
        </is>
      </c>
      <c r="C43" s="6" t="inlineStr">
        <is>
          <t>Development Economics</t>
        </is>
      </c>
      <c r="D43" s="6" t="inlineStr">
        <is>
          <t>Economics</t>
        </is>
      </c>
      <c r="E43" s="6" t="inlineStr">
        <is>
          <t>Elective (200+ cap)</t>
        </is>
      </c>
      <c r="F43" s="6" t="n">
        <v>200</v>
      </c>
      <c r="G43" s="6" t="n">
        <v>4</v>
      </c>
      <c r="H43" s="3" t="inlineStr">
        <is>
          <t>Economics: max four 200+ level courses transferred after matriculation</t>
        </is>
      </c>
      <c r="I43" s="3" t="inlineStr">
        <is>
          <t>Fully synthetic course (not a real BU offering)</t>
        </is>
      </c>
      <c r="J43" s="3" t="inlineStr">
        <is>
          <t>Development Economics is an intermediate course in economics. It covers economic growth, poverty measurement, human capital and institutions, and builds toward microfinance and foreign aid. Students work through data and policy exercises, with later units on agriculture and randomized evaluations.</t>
        </is>
      </c>
      <c r="K43" s="3" t="inlineStr">
        <is>
          <t>Explain the core ideas of economic growth | Apply poverty measurement to solve standard problems | Analyze problems involving human capital | Use institutions in practical exercises | Evaluate approaches to microfinance | Communicate findings about foreign aid</t>
        </is>
      </c>
      <c r="L43" s="3" t="inlineStr">
        <is>
          <t>economic growth | poverty measurement | human capital | institutions | microfinance | foreign aid | agriculture | randomized evaluations</t>
        </is>
      </c>
    </row>
    <row r="44">
      <c r="A44" s="6" t="inlineStr">
        <is>
          <t>CAS EC 270</t>
        </is>
      </c>
      <c r="B44" s="6" t="inlineStr">
        <is>
          <t>EC</t>
        </is>
      </c>
      <c r="C44" s="6" t="inlineStr">
        <is>
          <t>Environmental Economics</t>
        </is>
      </c>
      <c r="D44" s="6" t="inlineStr">
        <is>
          <t>Economics</t>
        </is>
      </c>
      <c r="E44" s="6" t="inlineStr">
        <is>
          <t>Elective (200+ cap)</t>
        </is>
      </c>
      <c r="F44" s="6" t="n">
        <v>200</v>
      </c>
      <c r="G44" s="6" t="n">
        <v>4</v>
      </c>
      <c r="H44" s="3" t="inlineStr">
        <is>
          <t>Economics: max four 200+ level courses transferred after matriculation</t>
        </is>
      </c>
      <c r="I44" s="3" t="inlineStr">
        <is>
          <t>Fully synthetic course (not a real BU offering)</t>
        </is>
      </c>
      <c r="J44" s="3" t="inlineStr">
        <is>
          <t>Environmental Economics is an intermediate course in economics. It covers externalities, public goods, pollution regulation and carbon pricing, and builds toward cost-benefit analysis and natural resources. Students work through data and policy exercises, with later units on climate policy and valuation methods.</t>
        </is>
      </c>
      <c r="K44" s="3" t="inlineStr">
        <is>
          <t>Explain the core ideas of externalities | Apply public goods to solve standard problems | Analyze problems involving pollution regulation | Use carbon pricing in practical exercises | Evaluate approaches to cost-benefit analysis | Communicate findings about natural resources</t>
        </is>
      </c>
      <c r="L44" s="3" t="inlineStr">
        <is>
          <t>externalities | public goods | pollution regulation | carbon pricing | cost-benefit analysis | natural resources | climate policy | valuation methods</t>
        </is>
      </c>
    </row>
    <row r="45">
      <c r="A45" s="6" t="inlineStr">
        <is>
          <t>CAS EC 280</t>
        </is>
      </c>
      <c r="B45" s="6" t="inlineStr">
        <is>
          <t>EC</t>
        </is>
      </c>
      <c r="C45" s="6" t="inlineStr">
        <is>
          <t>Game Theory</t>
        </is>
      </c>
      <c r="D45" s="6" t="inlineStr">
        <is>
          <t>Economics</t>
        </is>
      </c>
      <c r="E45" s="6" t="inlineStr">
        <is>
          <t>Elective (200+ cap)</t>
        </is>
      </c>
      <c r="F45" s="6" t="n">
        <v>200</v>
      </c>
      <c r="G45" s="6" t="n">
        <v>4</v>
      </c>
      <c r="H45" s="3" t="inlineStr">
        <is>
          <t>Economics: max four 200+ level courses transferred after matriculation</t>
        </is>
      </c>
      <c r="I45" s="3" t="inlineStr">
        <is>
          <t>Fully synthetic course (not a real BU offering)</t>
        </is>
      </c>
      <c r="J45" s="3" t="inlineStr">
        <is>
          <t>Game Theory is an intermediate course in economics. It covers strategic games, Nash equilibrium, mixed strategies and sequential games, and builds toward repeated games and bargaining. Students work through data and policy exercises, with later units on auctions and mechanism design.</t>
        </is>
      </c>
      <c r="K45" s="3" t="inlineStr">
        <is>
          <t>Explain the core ideas of strategic games | Apply Nash equilibrium to solve standard problems | Analyze problems involving mixed strategies | Use sequential games in practical exercises | Evaluate approaches to repeated games | Communicate findings about bargaining</t>
        </is>
      </c>
      <c r="L45" s="3" t="inlineStr">
        <is>
          <t>strategic games | Nash equilibrium | mixed strategies | sequential games | repeated games | bargaining | auctions | mechanism design</t>
        </is>
      </c>
    </row>
    <row r="46">
      <c r="A46" s="6" t="inlineStr">
        <is>
          <t>CAS EC 290</t>
        </is>
      </c>
      <c r="B46" s="6" t="inlineStr">
        <is>
          <t>EC</t>
        </is>
      </c>
      <c r="C46" s="6" t="inlineStr">
        <is>
          <t>Economic History of the United States</t>
        </is>
      </c>
      <c r="D46" s="6" t="inlineStr">
        <is>
          <t>Economics</t>
        </is>
      </c>
      <c r="E46" s="6" t="inlineStr">
        <is>
          <t>Elective (200+ cap)</t>
        </is>
      </c>
      <c r="F46" s="6" t="n">
        <v>200</v>
      </c>
      <c r="G46" s="6" t="n">
        <v>4</v>
      </c>
      <c r="H46" s="3" t="inlineStr">
        <is>
          <t>Economics: max four 200+ level courses transferred after matriculation</t>
        </is>
      </c>
      <c r="I46" s="3" t="inlineStr">
        <is>
          <t>Fully synthetic course (not a real BU offering)</t>
        </is>
      </c>
      <c r="J46" s="3" t="inlineStr">
        <is>
          <t>Economic History of the United States is an intermediate course in economics. It covers colonial economy, industrialization, labor markets and the Great Depression, and builds toward financial crises and technological change. Students work through data and policy exercises, with later units on economic growth and government policy.</t>
        </is>
      </c>
      <c r="K46" s="3" t="inlineStr">
        <is>
          <t>Explain the core ideas of colonial economy | Apply industrialization to solve standard problems | Analyze problems involving labor markets | Use the Great Depression in practical exercises | Evaluate approaches to financial crises | Communicate findings about technological change</t>
        </is>
      </c>
      <c r="L46" s="3" t="inlineStr">
        <is>
          <t>colonial economy | industrialization | labor markets | the Great Depression | financial crises | technological change | economic growth | government policy</t>
        </is>
      </c>
    </row>
    <row r="47">
      <c r="A47" s="6" t="inlineStr">
        <is>
          <t>CAS EC 305</t>
        </is>
      </c>
      <c r="B47" s="6" t="inlineStr">
        <is>
          <t>EC</t>
        </is>
      </c>
      <c r="C47" s="6" t="inlineStr">
        <is>
          <t>Health Economics</t>
        </is>
      </c>
      <c r="D47" s="6" t="inlineStr">
        <is>
          <t>Economics</t>
        </is>
      </c>
      <c r="E47" s="6" t="inlineStr">
        <is>
          <t>Elective (200+ cap)</t>
        </is>
      </c>
      <c r="F47" s="6" t="n">
        <v>300</v>
      </c>
      <c r="G47" s="6" t="n">
        <v>4</v>
      </c>
      <c r="H47" s="3" t="inlineStr">
        <is>
          <t>Economics: max four 200+ level courses transferred after matriculation</t>
        </is>
      </c>
      <c r="I47" s="3" t="inlineStr">
        <is>
          <t>Fully synthetic course (not a real BU offering)</t>
        </is>
      </c>
      <c r="J47" s="3" t="inlineStr">
        <is>
          <t>Health Economics is an advanced course in economics. It covers demand for health care, health insurance, adverse selection and hospital markets, and builds toward pharmaceutical markets and health policy. Students work through data and policy exercises, with later units on cost-effectiveness and public health.</t>
        </is>
      </c>
      <c r="K47" s="3" t="inlineStr">
        <is>
          <t>Explain the core ideas of demand for health care | Apply health insurance to solve standard problems | Analyze problems involving adverse selection | Use hospital markets in practical exercises | Evaluate approaches to pharmaceutical markets | Communicate findings about health policy</t>
        </is>
      </c>
      <c r="L47" s="3" t="inlineStr">
        <is>
          <t>demand for health care | health insurance | adverse selection | hospital markets | pharmaceutical markets | health policy | cost-effectiveness | public health</t>
        </is>
      </c>
    </row>
    <row r="48">
      <c r="A48" s="6" t="inlineStr">
        <is>
          <t>CAS EC 310</t>
        </is>
      </c>
      <c r="B48" s="6" t="inlineStr">
        <is>
          <t>EC</t>
        </is>
      </c>
      <c r="C48" s="6" t="inlineStr">
        <is>
          <t>Urban Economics</t>
        </is>
      </c>
      <c r="D48" s="6" t="inlineStr">
        <is>
          <t>Economics</t>
        </is>
      </c>
      <c r="E48" s="6" t="inlineStr">
        <is>
          <t>Elective (200+ cap)</t>
        </is>
      </c>
      <c r="F48" s="6" t="n">
        <v>300</v>
      </c>
      <c r="G48" s="6" t="n">
        <v>4</v>
      </c>
      <c r="H48" s="3" t="inlineStr">
        <is>
          <t>Economics: max four 200+ level courses transferred after matriculation</t>
        </is>
      </c>
      <c r="I48" s="3" t="inlineStr">
        <is>
          <t>Fully synthetic course (not a real BU offering)</t>
        </is>
      </c>
      <c r="J48" s="3" t="inlineStr">
        <is>
          <t>Urban Economics is an advanced course in economics. It covers city formation, land use, housing markets and transportation, and builds toward local public goods and segregation. Students work through data and policy exercises, with later units on urban policy and agglomeration.</t>
        </is>
      </c>
      <c r="K48" s="3" t="inlineStr">
        <is>
          <t>Explain the core ideas of city formation | Apply land use to solve standard problems | Analyze problems involving housing markets | Use transportation in practical exercises | Evaluate approaches to local public goods | Communicate findings about segregation</t>
        </is>
      </c>
      <c r="L48" s="3" t="inlineStr">
        <is>
          <t>city formation | land use | housing markets | transportation | local public goods | segregation | urban policy | agglomeration</t>
        </is>
      </c>
    </row>
    <row r="49">
      <c r="A49" s="6" t="inlineStr">
        <is>
          <t>CAS EC 315</t>
        </is>
      </c>
      <c r="B49" s="6" t="inlineStr">
        <is>
          <t>EC</t>
        </is>
      </c>
      <c r="C49" s="6" t="inlineStr">
        <is>
          <t>Behavioral Economics</t>
        </is>
      </c>
      <c r="D49" s="6" t="inlineStr">
        <is>
          <t>Economics</t>
        </is>
      </c>
      <c r="E49" s="6" t="inlineStr">
        <is>
          <t>Elective (200+ cap)</t>
        </is>
      </c>
      <c r="F49" s="6" t="n">
        <v>300</v>
      </c>
      <c r="G49" s="6" t="n">
        <v>4</v>
      </c>
      <c r="H49" s="3" t="inlineStr">
        <is>
          <t>Economics: max four 200+ level courses transferred after matriculation</t>
        </is>
      </c>
      <c r="I49" s="3" t="inlineStr">
        <is>
          <t>Fully synthetic course (not a real BU offering)</t>
        </is>
      </c>
      <c r="J49" s="3" t="inlineStr">
        <is>
          <t>Behavioral Economics is an advanced course in economics. It covers bounded rationality, prospect theory, time inconsistency and social preferences, and builds toward heuristics and biases and nudges. Students work through data and policy exercises, with later units on experiments and behavioral finance.</t>
        </is>
      </c>
      <c r="K49" s="3" t="inlineStr">
        <is>
          <t>Explain the core ideas of bounded rationality | Apply prospect theory to solve standard problems | Analyze problems involving time inconsistency | Use social preferences in practical exercises | Evaluate approaches to heuristics and biases | Communicate findings about nudges</t>
        </is>
      </c>
      <c r="L49" s="3" t="inlineStr">
        <is>
          <t>bounded rationality | prospect theory | time inconsistency | social preferences | heuristics and biases | nudges | experiments | behavioral finance</t>
        </is>
      </c>
    </row>
    <row r="50">
      <c r="A50" s="6" t="inlineStr">
        <is>
          <t>CAS EC 320</t>
        </is>
      </c>
      <c r="B50" s="6" t="inlineStr">
        <is>
          <t>EC</t>
        </is>
      </c>
      <c r="C50" s="6" t="inlineStr">
        <is>
          <t>Industrial Organization</t>
        </is>
      </c>
      <c r="D50" s="6" t="inlineStr">
        <is>
          <t>Economics</t>
        </is>
      </c>
      <c r="E50" s="6" t="inlineStr">
        <is>
          <t>Elective (200+ cap)</t>
        </is>
      </c>
      <c r="F50" s="6" t="n">
        <v>300</v>
      </c>
      <c r="G50" s="6" t="n">
        <v>4</v>
      </c>
      <c r="H50" s="3" t="inlineStr">
        <is>
          <t>Economics: max four 200+ level courses transferred after matriculation</t>
        </is>
      </c>
      <c r="I50" s="3" t="inlineStr">
        <is>
          <t>Fully synthetic course (not a real BU offering)</t>
        </is>
      </c>
      <c r="J50" s="3" t="inlineStr">
        <is>
          <t>Industrial Organization is an advanced course in economics. It covers market structures, monopoly, oligopoly and price discrimination, and builds toward product differentiation and entry and exit. Students work through data and policy exercises, with later units on antitrust and vertical integration.</t>
        </is>
      </c>
      <c r="K50" s="3" t="inlineStr">
        <is>
          <t>Explain the core ideas of market structures | Apply monopoly to solve standard problems | Analyze problems involving oligopoly | Use price discrimination in practical exercises | Evaluate approaches to product differentiation | Communicate findings about entry and exit</t>
        </is>
      </c>
      <c r="L50" s="3" t="inlineStr">
        <is>
          <t>market structures | monopoly | oligopoly | price discrimination | product differentiation | entry and exit | antitrust | vertical integration</t>
        </is>
      </c>
    </row>
    <row r="51">
      <c r="A51" s="6" t="inlineStr">
        <is>
          <t>CAS EC 325</t>
        </is>
      </c>
      <c r="B51" s="6" t="inlineStr">
        <is>
          <t>EC</t>
        </is>
      </c>
      <c r="C51" s="6" t="inlineStr">
        <is>
          <t>Financial Economics</t>
        </is>
      </c>
      <c r="D51" s="6" t="inlineStr">
        <is>
          <t>Economics</t>
        </is>
      </c>
      <c r="E51" s="6" t="inlineStr">
        <is>
          <t>Elective (200+ cap)</t>
        </is>
      </c>
      <c r="F51" s="6" t="n">
        <v>300</v>
      </c>
      <c r="G51" s="6" t="n">
        <v>4</v>
      </c>
      <c r="H51" s="3" t="inlineStr">
        <is>
          <t>Economics: max four 200+ level courses transferred after matriculation</t>
        </is>
      </c>
      <c r="I51" s="3" t="inlineStr">
        <is>
          <t>Fully synthetic course (not a real BU offering)</t>
        </is>
      </c>
      <c r="J51" s="3" t="inlineStr">
        <is>
          <t>Financial Economics is an advanced course in economics. It covers time value of money, asset pricing, portfolio theory and risk and return, and builds toward bond markets and options. Students work through data and policy exercises, with later units on market efficiency and behavioral finance.</t>
        </is>
      </c>
      <c r="K51" s="3" t="inlineStr">
        <is>
          <t>Explain the core ideas of time value of money | Apply asset pricing to solve standard problems | Analyze problems involving portfolio theory | Use risk and return in practical exercises | Evaluate approaches to bond markets | Communicate findings about options</t>
        </is>
      </c>
      <c r="L51" s="3" t="inlineStr">
        <is>
          <t>time value of money | asset pricing | portfolio theory | risk and return | bond markets | options | market efficiency | behavioral finance</t>
        </is>
      </c>
    </row>
    <row r="52">
      <c r="A52" s="6" t="inlineStr">
        <is>
          <t>CAS EC 330</t>
        </is>
      </c>
      <c r="B52" s="6" t="inlineStr">
        <is>
          <t>EC</t>
        </is>
      </c>
      <c r="C52" s="6" t="inlineStr">
        <is>
          <t>Econometrics of Policy Evaluation</t>
        </is>
      </c>
      <c r="D52" s="6" t="inlineStr">
        <is>
          <t>Economics</t>
        </is>
      </c>
      <c r="E52" s="6" t="inlineStr">
        <is>
          <t>Elective (200+ cap)</t>
        </is>
      </c>
      <c r="F52" s="6" t="n">
        <v>300</v>
      </c>
      <c r="G52" s="6" t="n">
        <v>4</v>
      </c>
      <c r="H52" s="3" t="inlineStr">
        <is>
          <t>Economics: max four 200+ level courses transferred after matriculation</t>
        </is>
      </c>
      <c r="I52" s="3" t="inlineStr">
        <is>
          <t>Fully synthetic course (not a real BU offering)</t>
        </is>
      </c>
      <c r="J52" s="3" t="inlineStr">
        <is>
          <t>Econometrics of Policy Evaluation is an advanced course in economics. It covers causal inference, randomized experiments, difference in differences and regression discontinuity, and builds toward instrumental variables and panel data. Students work through data and policy exercises, with later units on program evaluation and statistical software.</t>
        </is>
      </c>
      <c r="K52" s="3" t="inlineStr">
        <is>
          <t>Explain the core ideas of causal inference | Apply randomized experiments to solve standard problems | Analyze problems involving difference in differences | Use regression discontinuity in practical exercises | Evaluate approaches to instrumental variables | Communicate findings about panel data</t>
        </is>
      </c>
      <c r="L52" s="3" t="inlineStr">
        <is>
          <t>causal inference | randomized experiments | difference in differences | regression discontinuity | instrumental variables | panel data | program evaluation | statistical software</t>
        </is>
      </c>
    </row>
    <row r="53">
      <c r="A53" s="6" t="inlineStr">
        <is>
          <t>CAS EC 335</t>
        </is>
      </c>
      <c r="B53" s="6" t="inlineStr">
        <is>
          <t>EC</t>
        </is>
      </c>
      <c r="C53" s="6" t="inlineStr">
        <is>
          <t>Economics of Education</t>
        </is>
      </c>
      <c r="D53" s="6" t="inlineStr">
        <is>
          <t>Economics</t>
        </is>
      </c>
      <c r="E53" s="6" t="inlineStr">
        <is>
          <t>Elective (200+ cap)</t>
        </is>
      </c>
      <c r="F53" s="6" t="n">
        <v>300</v>
      </c>
      <c r="G53" s="6" t="n">
        <v>4</v>
      </c>
      <c r="H53" s="3" t="inlineStr">
        <is>
          <t>Economics: max four 200+ level courses transferred after matriculation</t>
        </is>
      </c>
      <c r="I53" s="3" t="inlineStr">
        <is>
          <t>Fully synthetic course (not a real BU offering)</t>
        </is>
      </c>
      <c r="J53" s="3" t="inlineStr">
        <is>
          <t>Economics of Education is an advanced course in economics. It covers human capital, returns to education, school finance and teacher quality, and builds toward education policy and higher education markets. Students work through data and policy exercises, with later units on inequality and program evaluation.</t>
        </is>
      </c>
      <c r="K53" s="3" t="inlineStr">
        <is>
          <t>Explain the core ideas of human capital | Apply returns to education to solve standard problems | Analyze problems involving school finance | Use teacher quality in practical exercises | Evaluate approaches to education policy | Communicate findings about higher education markets</t>
        </is>
      </c>
      <c r="L53" s="3" t="inlineStr">
        <is>
          <t>human capital | returns to education | school finance | teacher quality | education policy | higher education markets | inequality | program evaluation</t>
        </is>
      </c>
    </row>
    <row r="54">
      <c r="A54" s="6" t="inlineStr">
        <is>
          <t>CAS EC 340</t>
        </is>
      </c>
      <c r="B54" s="6" t="inlineStr">
        <is>
          <t>EC</t>
        </is>
      </c>
      <c r="C54" s="6" t="inlineStr">
        <is>
          <t>International Finance</t>
        </is>
      </c>
      <c r="D54" s="6" t="inlineStr">
        <is>
          <t>Economics</t>
        </is>
      </c>
      <c r="E54" s="6" t="inlineStr">
        <is>
          <t>Elective (200+ cap)</t>
        </is>
      </c>
      <c r="F54" s="6" t="n">
        <v>300</v>
      </c>
      <c r="G54" s="6" t="n">
        <v>4</v>
      </c>
      <c r="H54" s="3" t="inlineStr">
        <is>
          <t>Economics: max four 200+ level courses transferred after matriculation</t>
        </is>
      </c>
      <c r="I54" s="3" t="inlineStr">
        <is>
          <t>Fully synthetic course (not a real BU offering)</t>
        </is>
      </c>
      <c r="J54" s="3" t="inlineStr">
        <is>
          <t>International Finance is an advanced course in economics. It covers exchange rates, balance of payments, interest parity and currency crises, and builds toward capital flows and open-economy macroeconomics. Students work through data and policy exercises, with later units on monetary unions and international institutions.</t>
        </is>
      </c>
      <c r="K54" s="3" t="inlineStr">
        <is>
          <t>Explain the core ideas of exchange rates | Apply balance of payments to solve standard problems | Analyze problems involving interest parity | Use currency crises in practical exercises | Evaluate approaches to capital flows | Communicate findings about open-economy macroeconomics</t>
        </is>
      </c>
      <c r="L54" s="3" t="inlineStr">
        <is>
          <t>exchange rates | balance of payments | interest parity | currency crises | capital flows | open-economy macroeconomics | monetary unions | international institutions</t>
        </is>
      </c>
    </row>
    <row r="55">
      <c r="A55" s="6" t="inlineStr">
        <is>
          <t>CAS EC 345</t>
        </is>
      </c>
      <c r="B55" s="6" t="inlineStr">
        <is>
          <t>EC</t>
        </is>
      </c>
      <c r="C55" s="6" t="inlineStr">
        <is>
          <t>Mathematical Economics</t>
        </is>
      </c>
      <c r="D55" s="6" t="inlineStr">
        <is>
          <t>Economics</t>
        </is>
      </c>
      <c r="E55" s="6" t="inlineStr">
        <is>
          <t>Elective (200+ cap)</t>
        </is>
      </c>
      <c r="F55" s="6" t="n">
        <v>300</v>
      </c>
      <c r="G55" s="6" t="n">
        <v>4</v>
      </c>
      <c r="H55" s="3" t="inlineStr">
        <is>
          <t>Economics: max four 200+ level courses transferred after matriculation</t>
        </is>
      </c>
      <c r="I55" s="3" t="inlineStr">
        <is>
          <t>Fully synthetic course (not a real BU offering)</t>
        </is>
      </c>
      <c r="J55" s="3" t="inlineStr">
        <is>
          <t>Mathematical Economics is an advanced course in economics. It covers optimization, constrained optimization, comparative statics and linear algebra for economics, and builds toward dynamic optimization and equilibrium analysis. Students work through data and policy exercises, with later units on game theory basics and utility maximization.</t>
        </is>
      </c>
      <c r="K55" s="3" t="inlineStr">
        <is>
          <t>Explain the core ideas of optimization | Apply constrained optimization to solve standard problems | Analyze problems involving comparative statics | Use linear algebra for economics in practical exercises | Evaluate approaches to dynamic optimization | Communicate findings about equilibrium analysis</t>
        </is>
      </c>
      <c r="L55" s="3" t="inlineStr">
        <is>
          <t>optimization | constrained optimization | comparative statics | linear algebra for economics | dynamic optimization | equilibrium analysis | game theory basics | utility maximization</t>
        </is>
      </c>
    </row>
    <row r="56">
      <c r="A56" s="6" t="inlineStr">
        <is>
          <t>CAS EC 350</t>
        </is>
      </c>
      <c r="B56" s="6" t="inlineStr">
        <is>
          <t>EC</t>
        </is>
      </c>
      <c r="C56" s="6" t="inlineStr">
        <is>
          <t>Economics of Innovation</t>
        </is>
      </c>
      <c r="D56" s="6" t="inlineStr">
        <is>
          <t>Economics</t>
        </is>
      </c>
      <c r="E56" s="6" t="inlineStr">
        <is>
          <t>Elective (200+ cap)</t>
        </is>
      </c>
      <c r="F56" s="6" t="n">
        <v>300</v>
      </c>
      <c r="G56" s="6" t="n">
        <v>4</v>
      </c>
      <c r="H56" s="3" t="inlineStr">
        <is>
          <t>Economics: max four 200+ level courses transferred after matriculation</t>
        </is>
      </c>
      <c r="I56" s="3" t="inlineStr">
        <is>
          <t>Fully synthetic course (not a real BU offering)</t>
        </is>
      </c>
      <c r="J56" s="3" t="inlineStr">
        <is>
          <t>Economics of Innovation is an advanced course in economics. It covers technological change, research and development, patents and diffusion of technology, and builds toward startups and venture capital and productivity. Students work through data and policy exercises, with later units on innovation policy and economic growth.</t>
        </is>
      </c>
      <c r="K56" s="3" t="inlineStr">
        <is>
          <t>Explain the core ideas of technological change | Apply research and development to solve standard problems | Analyze problems involving patents | Use diffusion of technology in practical exercises | Evaluate approaches to startups and venture capital | Communicate findings about productivity</t>
        </is>
      </c>
      <c r="L56" s="3" t="inlineStr">
        <is>
          <t>technological change | research and development | patents | diffusion of technology | startups and venture capital | productivity | innovation policy | economic growth</t>
        </is>
      </c>
    </row>
    <row r="57">
      <c r="A57" s="6" t="inlineStr">
        <is>
          <t>CAS EC 355</t>
        </is>
      </c>
      <c r="B57" s="6" t="inlineStr">
        <is>
          <t>EC</t>
        </is>
      </c>
      <c r="C57" s="6" t="inlineStr">
        <is>
          <t>Political Economy</t>
        </is>
      </c>
      <c r="D57" s="6" t="inlineStr">
        <is>
          <t>Economics</t>
        </is>
      </c>
      <c r="E57" s="6" t="inlineStr">
        <is>
          <t>Elective (200+ cap)</t>
        </is>
      </c>
      <c r="F57" s="6" t="n">
        <v>300</v>
      </c>
      <c r="G57" s="6" t="n">
        <v>4</v>
      </c>
      <c r="H57" s="3" t="inlineStr">
        <is>
          <t>Economics: max four 200+ level courses transferred after matriculation</t>
        </is>
      </c>
      <c r="I57" s="3" t="inlineStr">
        <is>
          <t>Fully synthetic course (not a real BU offering)</t>
        </is>
      </c>
      <c r="J57" s="3" t="inlineStr">
        <is>
          <t>Political Economy is an advanced course in economics. It covers voting models, interest groups, institutions and redistribution, and builds toward public choice and political cycles. Students work through data and policy exercises, with later units on corruption and government policy.</t>
        </is>
      </c>
      <c r="K57" s="3" t="inlineStr">
        <is>
          <t>Explain the core ideas of voting models | Apply interest groups to solve standard problems | Analyze problems involving institutions | Use redistribution in practical exercises | Evaluate approaches to public choice | Communicate findings about political cycles</t>
        </is>
      </c>
      <c r="L57" s="3" t="inlineStr">
        <is>
          <t>voting models | interest groups | institutions | redistribution | public choice | political cycles | corruption | government policy</t>
        </is>
      </c>
    </row>
    <row r="58">
      <c r="A58" s="6" t="inlineStr">
        <is>
          <t>CAS EC 360</t>
        </is>
      </c>
      <c r="B58" s="6" t="inlineStr">
        <is>
          <t>EC</t>
        </is>
      </c>
      <c r="C58" s="6" t="inlineStr">
        <is>
          <t>Antitrust and Regulation</t>
        </is>
      </c>
      <c r="D58" s="6" t="inlineStr">
        <is>
          <t>Economics</t>
        </is>
      </c>
      <c r="E58" s="6" t="inlineStr">
        <is>
          <t>Elective (200+ cap)</t>
        </is>
      </c>
      <c r="F58" s="6" t="n">
        <v>300</v>
      </c>
      <c r="G58" s="6" t="n">
        <v>4</v>
      </c>
      <c r="H58" s="3" t="inlineStr">
        <is>
          <t>Economics: max four 200+ level courses transferred after matriculation</t>
        </is>
      </c>
      <c r="I58" s="3" t="inlineStr">
        <is>
          <t>Fully synthetic course (not a real BU offering)</t>
        </is>
      </c>
      <c r="J58" s="3" t="inlineStr">
        <is>
          <t>Antitrust and Regulation is an advanced course in economics. It covers antitrust law, mergers, monopoly and price regulation, and builds toward natural monopoly and network industries. Students work through data and policy exercises, with later units on regulatory capture and competition policy.</t>
        </is>
      </c>
      <c r="K58" s="3" t="inlineStr">
        <is>
          <t>Explain the core ideas of antitrust law | Apply mergers to solve standard problems | Analyze problems involving monopoly | Use price regulation in practical exercises | Evaluate approaches to natural monopoly | Communicate findings about network industries</t>
        </is>
      </c>
      <c r="L58" s="3" t="inlineStr">
        <is>
          <t>antitrust law | mergers | monopoly | price regulation | natural monopoly | network industries | regulatory capture | competition policy</t>
        </is>
      </c>
    </row>
    <row r="59">
      <c r="A59" s="6" t="inlineStr">
        <is>
          <t>CAS EC 365</t>
        </is>
      </c>
      <c r="B59" s="6" t="inlineStr">
        <is>
          <t>EC</t>
        </is>
      </c>
      <c r="C59" s="6" t="inlineStr">
        <is>
          <t>Time Series Forecasting</t>
        </is>
      </c>
      <c r="D59" s="6" t="inlineStr">
        <is>
          <t>Economics</t>
        </is>
      </c>
      <c r="E59" s="6" t="inlineStr">
        <is>
          <t>Elective (200+ cap)</t>
        </is>
      </c>
      <c r="F59" s="6" t="n">
        <v>300</v>
      </c>
      <c r="G59" s="6" t="n">
        <v>4</v>
      </c>
      <c r="H59" s="3" t="inlineStr">
        <is>
          <t>Economics: max four 200+ level courses transferred after matriculation</t>
        </is>
      </c>
      <c r="I59" s="3" t="inlineStr">
        <is>
          <t>Fully synthetic course (not a real BU offering)</t>
        </is>
      </c>
      <c r="J59" s="3" t="inlineStr">
        <is>
          <t>Time Series Forecasting is an advanced course in economics. It covers time series data, autocorrelation, ARIMA models and trend and seasonality, and builds toward forecasting evaluation and volatility models. Students work through data and policy exercises, with later units on vector autoregression and statistical software.</t>
        </is>
      </c>
      <c r="K59" s="3" t="inlineStr">
        <is>
          <t>Explain the core ideas of time series data | Apply autocorrelation to solve standard problems | Analyze problems involving ARIMA models | Use trend and seasonality in practical exercises | Evaluate approaches to forecasting evaluation | Communicate findings about volatility models</t>
        </is>
      </c>
      <c r="L59" s="3" t="inlineStr">
        <is>
          <t>time series data | autocorrelation | ARIMA models | trend and seasonality | forecasting evaluation | volatility models | vector autoregression | statistical software</t>
        </is>
      </c>
    </row>
    <row r="60">
      <c r="A60" s="6" t="inlineStr">
        <is>
          <t>CAS PS 101</t>
        </is>
      </c>
      <c r="B60" s="6" t="inlineStr">
        <is>
          <t>PS</t>
        </is>
      </c>
      <c r="C60" s="6" t="inlineStr">
        <is>
          <t>General Psychology</t>
        </is>
      </c>
      <c r="D60" s="6" t="inlineStr">
        <is>
          <t>Psychology</t>
        </is>
      </c>
      <c r="E60" s="6" t="inlineStr">
        <is>
          <t>Prerequisite</t>
        </is>
      </c>
      <c r="F60" s="6" t="n">
        <v>100</v>
      </c>
      <c r="G60" s="6" t="n">
        <v>4</v>
      </c>
      <c r="H60" s="6" t="inlineStr"/>
      <c r="I60" s="3" t="inlineStr">
        <is>
          <t>Code/title from provided BU workbook (public catalog); description synthetic</t>
        </is>
      </c>
      <c r="J60" s="3" t="inlineStr">
        <is>
          <t>General Psychology is an introductory course in psychology. It covers history of psychology, research methods, biological bases of behavior and sensation and perception, and builds toward learning and memory. Students work through readings and short research reports, with later units on development and psychological disorders.</t>
        </is>
      </c>
      <c r="K60" s="3" t="inlineStr">
        <is>
          <t>Explain the core ideas of history of psychology | Apply research methods to solve standard problems | Analyze problems involving biological bases of behavior | Use sensation and perception in practical exercises | Evaluate approaches to learning | Communicate findings about memory</t>
        </is>
      </c>
      <c r="L60" s="3" t="inlineStr">
        <is>
          <t>history of psychology | research methods | biological bases of behavior | sensation and perception | learning | memory | development | psychological disorders</t>
        </is>
      </c>
    </row>
    <row r="61">
      <c r="A61" s="6" t="inlineStr">
        <is>
          <t>CAS PS 211</t>
        </is>
      </c>
      <c r="B61" s="6" t="inlineStr">
        <is>
          <t>PS</t>
        </is>
      </c>
      <c r="C61" s="6" t="inlineStr">
        <is>
          <t>Experimental Design in Psychology</t>
        </is>
      </c>
      <c r="D61" s="6" t="inlineStr">
        <is>
          <t>Psychology</t>
        </is>
      </c>
      <c r="E61" s="6" t="inlineStr">
        <is>
          <t>Design &amp; Statistics</t>
        </is>
      </c>
      <c r="F61" s="6" t="n">
        <v>200</v>
      </c>
      <c r="G61" s="6" t="n">
        <v>4</v>
      </c>
      <c r="H61" s="6" t="inlineStr"/>
      <c r="I61" s="3" t="inlineStr">
        <is>
          <t>Code/title from provided BU workbook (public catalog); description synthetic</t>
        </is>
      </c>
      <c r="J61" s="3" t="inlineStr">
        <is>
          <t>Experimental Design in Psychology is an intermediate course in psychology. It covers scientific method, research ethics, experimental design and descriptive statistics, and builds toward hypothesis testing and t-tests and ANOVA. Students work through readings and short research reports, with later units on correlation and regression and APA-style reporting.</t>
        </is>
      </c>
      <c r="K61" s="3" t="inlineStr">
        <is>
          <t>Explain the core ideas of scientific method | Apply research ethics to solve standard problems | Analyze problems involving experimental design | Use descriptive statistics in practical exercises | Evaluate approaches to hypothesis testing | Communicate findings about t-tests and ANOVA</t>
        </is>
      </c>
      <c r="L61" s="3" t="inlineStr">
        <is>
          <t>scientific method | research ethics | experimental design | descriptive statistics | hypothesis testing | t-tests and ANOVA | correlation and regression | APA-style reporting</t>
        </is>
      </c>
    </row>
    <row r="62">
      <c r="A62" s="6" t="inlineStr">
        <is>
          <t>CAS PS 231</t>
        </is>
      </c>
      <c r="B62" s="6" t="inlineStr">
        <is>
          <t>PS</t>
        </is>
      </c>
      <c r="C62" s="6" t="inlineStr">
        <is>
          <t>Physiological Psychology</t>
        </is>
      </c>
      <c r="D62" s="6" t="inlineStr">
        <is>
          <t>Psychology</t>
        </is>
      </c>
      <c r="E62" s="6" t="inlineStr">
        <is>
          <t>Required principal</t>
        </is>
      </c>
      <c r="F62" s="6" t="n">
        <v>200</v>
      </c>
      <c r="G62" s="6" t="n">
        <v>4</v>
      </c>
      <c r="H62" s="6" t="inlineStr"/>
      <c r="I62" s="3" t="inlineStr">
        <is>
          <t>Code/title from provided BU workbook (public catalog); description synthetic</t>
        </is>
      </c>
      <c r="J62" s="3" t="inlineStr">
        <is>
          <t>Physiological Psychology is an intermediate course in psychology. It covers neurons and synapses, neurotransmitters, brain anatomy and sensory systems, and builds toward motor control and sleep. Students work through readings and short research reports, with later units on emotion and the brain and neuroplasticity.</t>
        </is>
      </c>
      <c r="K62" s="3" t="inlineStr">
        <is>
          <t>Explain the core ideas of neurons and synapses | Apply neurotransmitters to solve standard problems | Analyze problems involving brain anatomy | Use sensory systems in practical exercises | Evaluate approaches to motor control | Communicate findings about sleep</t>
        </is>
      </c>
      <c r="L62" s="3" t="inlineStr">
        <is>
          <t>neurons and synapses | neurotransmitters | brain anatomy | sensory systems | motor control | sleep | emotion and the brain | neuroplasticity</t>
        </is>
      </c>
    </row>
    <row r="63">
      <c r="A63" s="6" t="inlineStr">
        <is>
          <t>CAS PS 222</t>
        </is>
      </c>
      <c r="B63" s="6" t="inlineStr">
        <is>
          <t>PS</t>
        </is>
      </c>
      <c r="C63" s="6" t="inlineStr">
        <is>
          <t>Perception and Behavior</t>
        </is>
      </c>
      <c r="D63" s="6" t="inlineStr">
        <is>
          <t>Psychology</t>
        </is>
      </c>
      <c r="E63" s="6" t="inlineStr">
        <is>
          <t>Group A</t>
        </is>
      </c>
      <c r="F63" s="6" t="n">
        <v>200</v>
      </c>
      <c r="G63" s="6" t="n">
        <v>4</v>
      </c>
      <c r="H63" s="6" t="inlineStr"/>
      <c r="I63" s="3" t="inlineStr">
        <is>
          <t>Code/title from provided BU workbook (public catalog); description synthetic</t>
        </is>
      </c>
      <c r="J63" s="3" t="inlineStr">
        <is>
          <t>Perception and Behavior is an intermediate course in psychology. It covers psychophysics, visual system, color perception and depth perception, and builds toward auditory perception and attention. Students work through readings and short research reports, with later units on object recognition and multisensory integration.</t>
        </is>
      </c>
      <c r="K63" s="3" t="inlineStr">
        <is>
          <t>Explain the core ideas of psychophysics | Apply visual system to solve standard problems | Analyze problems involving color perception | Use depth perception in practical exercises | Evaluate approaches to auditory perception | Communicate findings about attention</t>
        </is>
      </c>
      <c r="L63" s="3" t="inlineStr">
        <is>
          <t>psychophysics | visual system | color perception | depth perception | auditory perception | attention | object recognition | multisensory integration</t>
        </is>
      </c>
    </row>
    <row r="64">
      <c r="A64" s="6" t="inlineStr">
        <is>
          <t>CAS PS 336</t>
        </is>
      </c>
      <c r="B64" s="6" t="inlineStr">
        <is>
          <t>PS</t>
        </is>
      </c>
      <c r="C64" s="6" t="inlineStr">
        <is>
          <t>Introduction to Cognitive Psychology</t>
        </is>
      </c>
      <c r="D64" s="6" t="inlineStr">
        <is>
          <t>Psychology</t>
        </is>
      </c>
      <c r="E64" s="6" t="inlineStr">
        <is>
          <t>Group A</t>
        </is>
      </c>
      <c r="F64" s="6" t="n">
        <v>300</v>
      </c>
      <c r="G64" s="6" t="n">
        <v>4</v>
      </c>
      <c r="H64" s="6" t="inlineStr"/>
      <c r="I64" s="3" t="inlineStr">
        <is>
          <t>Code/title from provided BU workbook (public catalog); description synthetic</t>
        </is>
      </c>
      <c r="J64" s="3" t="inlineStr">
        <is>
          <t>Introduction to Cognitive Psychology is an advanced course in psychology. It covers attention, working memory, long-term memory and categorization, and builds toward language and problem solving. Students work through readings and short research reports, with later units on decision making and reasoning.</t>
        </is>
      </c>
      <c r="K64" s="3" t="inlineStr">
        <is>
          <t>Explain the core ideas of attention | Apply working memory to solve standard problems | Analyze problems involving long-term memory | Use categorization in practical exercises | Evaluate approaches to language | Communicate findings about problem solving</t>
        </is>
      </c>
      <c r="L64" s="3" t="inlineStr">
        <is>
          <t>attention | working memory | long-term memory | categorization | language | problem solving | decision making | reasoning</t>
        </is>
      </c>
    </row>
    <row r="65">
      <c r="A65" s="6" t="inlineStr">
        <is>
          <t>CAS PS 241</t>
        </is>
      </c>
      <c r="B65" s="6" t="inlineStr">
        <is>
          <t>PS</t>
        </is>
      </c>
      <c r="C65" s="6" t="inlineStr">
        <is>
          <t>Developmental Psychology</t>
        </is>
      </c>
      <c r="D65" s="6" t="inlineStr">
        <is>
          <t>Psychology</t>
        </is>
      </c>
      <c r="E65" s="6" t="inlineStr">
        <is>
          <t>Group B</t>
        </is>
      </c>
      <c r="F65" s="6" t="n">
        <v>200</v>
      </c>
      <c r="G65" s="6" t="n">
        <v>4</v>
      </c>
      <c r="H65" s="6" t="inlineStr"/>
      <c r="I65" s="3" t="inlineStr">
        <is>
          <t>Code/title from provided BU workbook (public catalog); description synthetic</t>
        </is>
      </c>
      <c r="J65" s="3" t="inlineStr">
        <is>
          <t>Developmental Psychology is an intermediate course in psychology. It covers prenatal development, infancy, cognitive development and language development, and builds toward social development and adolescence. Students work through readings and short research reports, with later units on attachment and developmental research methods.</t>
        </is>
      </c>
      <c r="K65" s="3" t="inlineStr">
        <is>
          <t>Explain the core ideas of prenatal development | Apply infancy to solve standard problems | Analyze problems involving cognitive development | Use language development in practical exercises | Evaluate approaches to social development | Communicate findings about adolescence</t>
        </is>
      </c>
      <c r="L65" s="3" t="inlineStr">
        <is>
          <t>prenatal development | infancy | cognitive development | language development | social development | adolescence | attachment | developmental research methods</t>
        </is>
      </c>
    </row>
    <row r="66">
      <c r="A66" s="6" t="inlineStr">
        <is>
          <t>CAS PS 251</t>
        </is>
      </c>
      <c r="B66" s="6" t="inlineStr">
        <is>
          <t>PS</t>
        </is>
      </c>
      <c r="C66" s="3" t="inlineStr">
        <is>
          <t>Psychology of Personality: Theories and Application</t>
        </is>
      </c>
      <c r="D66" s="6" t="inlineStr">
        <is>
          <t>Psychology</t>
        </is>
      </c>
      <c r="E66" s="6" t="inlineStr">
        <is>
          <t>Group B</t>
        </is>
      </c>
      <c r="F66" s="6" t="n">
        <v>200</v>
      </c>
      <c r="G66" s="6" t="n">
        <v>4</v>
      </c>
      <c r="H66" s="6" t="inlineStr"/>
      <c r="I66" s="3" t="inlineStr">
        <is>
          <t>Code/title from provided BU workbook (public catalog); description synthetic</t>
        </is>
      </c>
      <c r="J66" s="3" t="inlineStr">
        <is>
          <t>Psychology of Personality: Theories and Application is an intermediate course in psychology. It covers psychodynamic theory, trait theory, humanistic theory and social-cognitive theory, and builds toward personality assessment and biological bases of personality. Students work through readings and short research reports, with later units on culture and personality and personality stability.</t>
        </is>
      </c>
      <c r="K66" s="3" t="inlineStr">
        <is>
          <t>Explain the core ideas of psychodynamic theory | Apply trait theory to solve standard problems | Analyze problems involving humanistic theory | Use social-cognitive theory in practical exercises | Evaluate approaches to personality assessment | Communicate findings about biological bases of personality</t>
        </is>
      </c>
      <c r="L66" s="3" t="inlineStr">
        <is>
          <t>psychodynamic theory | trait theory | humanistic theory | social-cognitive theory | personality assessment | biological bases of personality | culture and personality | personality stability</t>
        </is>
      </c>
    </row>
    <row r="67">
      <c r="A67" s="6" t="inlineStr">
        <is>
          <t>CAS PS 261</t>
        </is>
      </c>
      <c r="B67" s="6" t="inlineStr">
        <is>
          <t>PS</t>
        </is>
      </c>
      <c r="C67" s="6" t="inlineStr">
        <is>
          <t>Social Psychology</t>
        </is>
      </c>
      <c r="D67" s="6" t="inlineStr">
        <is>
          <t>Psychology</t>
        </is>
      </c>
      <c r="E67" s="6" t="inlineStr">
        <is>
          <t>Group B</t>
        </is>
      </c>
      <c r="F67" s="6" t="n">
        <v>200</v>
      </c>
      <c r="G67" s="6" t="n">
        <v>4</v>
      </c>
      <c r="H67" s="6" t="inlineStr"/>
      <c r="I67" s="3" t="inlineStr">
        <is>
          <t>Code/title from provided BU workbook (public catalog); description synthetic</t>
        </is>
      </c>
      <c r="J67" s="3" t="inlineStr">
        <is>
          <t>Social Psychology is an intermediate course in psychology. It covers social cognition, attitudes, persuasion and conformity, and builds toward group behavior and prejudice. Students work through readings and short research reports, with later units on interpersonal attraction and prosocial behavior.</t>
        </is>
      </c>
      <c r="K67" s="3" t="inlineStr">
        <is>
          <t>Explain the core ideas of social cognition | Apply attitudes to solve standard problems | Analyze problems involving persuasion | Use conformity in practical exercises | Evaluate approaches to group behavior | Communicate findings about prejudice</t>
        </is>
      </c>
      <c r="L67" s="3" t="inlineStr">
        <is>
          <t>social cognition | attitudes | persuasion | conformity | group behavior | prejudice | interpersonal attraction | prosocial behavior</t>
        </is>
      </c>
    </row>
    <row r="68">
      <c r="A68" s="6" t="inlineStr">
        <is>
          <t>CAS PS 371</t>
        </is>
      </c>
      <c r="B68" s="6" t="inlineStr">
        <is>
          <t>PS</t>
        </is>
      </c>
      <c r="C68" s="6" t="inlineStr">
        <is>
          <t>Psychopathology</t>
        </is>
      </c>
      <c r="D68" s="6" t="inlineStr">
        <is>
          <t>Psychology</t>
        </is>
      </c>
      <c r="E68" s="6" t="inlineStr">
        <is>
          <t>Group B</t>
        </is>
      </c>
      <c r="F68" s="6" t="n">
        <v>300</v>
      </c>
      <c r="G68" s="6" t="n">
        <v>4</v>
      </c>
      <c r="H68" s="6" t="inlineStr"/>
      <c r="I68" s="3" t="inlineStr">
        <is>
          <t>Code/title from provided BU workbook (public catalog); description synthetic</t>
        </is>
      </c>
      <c r="J68" s="3" t="inlineStr">
        <is>
          <t>Psychopathology is an advanced course in psychology. It covers diagnostic classification, anxiety disorders, mood disorders and schizophrenia, and builds toward personality disorders and substance use disorders. Students work through readings and short research reports, with later units on etiology models and evidence-based treatment.</t>
        </is>
      </c>
      <c r="K68" s="3" t="inlineStr">
        <is>
          <t>Explain the core ideas of diagnostic classification | Apply anxiety disorders to solve standard problems | Analyze problems involving mood disorders | Use schizophrenia in practical exercises | Evaluate approaches to personality disorders | Communicate findings about substance use disorders</t>
        </is>
      </c>
      <c r="L68" s="3" t="inlineStr">
        <is>
          <t>diagnostic classification | anxiety disorders | mood disorders | schizophrenia | personality disorders | substance use disorders | etiology models | evidence-based treatment</t>
        </is>
      </c>
    </row>
    <row r="69">
      <c r="A69" s="6" t="inlineStr">
        <is>
          <t>CAS PS 110</t>
        </is>
      </c>
      <c r="B69" s="6" t="inlineStr">
        <is>
          <t>PS</t>
        </is>
      </c>
      <c r="C69" s="6" t="inlineStr">
        <is>
          <t>Psychology of Everyday Life</t>
        </is>
      </c>
      <c r="D69" s="6" t="inlineStr">
        <is>
          <t>Psychology</t>
        </is>
      </c>
      <c r="E69" s="6" t="inlineStr">
        <is>
          <t>Elective</t>
        </is>
      </c>
      <c r="F69" s="6" t="n">
        <v>100</v>
      </c>
      <c r="G69" s="6" t="n">
        <v>4</v>
      </c>
      <c r="H69" s="6" t="inlineStr"/>
      <c r="I69" s="3" t="inlineStr">
        <is>
          <t>Fully synthetic course (not a real BU offering)</t>
        </is>
      </c>
      <c r="J69" s="3" t="inlineStr">
        <is>
          <t>Psychology of Everyday Life is an introductory course in psychology. It covers stress and coping, habits, motivation and relationships, and builds toward sleep and emotion. Students work through readings and short research reports, with later units on decision making and well-being.</t>
        </is>
      </c>
      <c r="K69" s="3" t="inlineStr">
        <is>
          <t>Explain the core ideas of stress and coping | Apply habits to solve standard problems | Analyze problems involving motivation | Use relationships in practical exercises | Evaluate approaches to sleep | Communicate findings about emotion</t>
        </is>
      </c>
      <c r="L69" s="3" t="inlineStr">
        <is>
          <t>stress and coping | habits | motivation | relationships | sleep | emotion | decision making | well-being</t>
        </is>
      </c>
    </row>
    <row r="70">
      <c r="A70" s="6" t="inlineStr">
        <is>
          <t>CAS PS 205</t>
        </is>
      </c>
      <c r="B70" s="6" t="inlineStr">
        <is>
          <t>PS</t>
        </is>
      </c>
      <c r="C70" s="6" t="inlineStr">
        <is>
          <t>Statistics for Psychology</t>
        </is>
      </c>
      <c r="D70" s="6" t="inlineStr">
        <is>
          <t>Psychology</t>
        </is>
      </c>
      <c r="E70" s="6" t="inlineStr">
        <is>
          <t>Elective</t>
        </is>
      </c>
      <c r="F70" s="6" t="n">
        <v>200</v>
      </c>
      <c r="G70" s="6" t="n">
        <v>4</v>
      </c>
      <c r="H70" s="6" t="inlineStr"/>
      <c r="I70" s="3" t="inlineStr">
        <is>
          <t>Fully synthetic course (not a real BU offering)</t>
        </is>
      </c>
      <c r="J70" s="3" t="inlineStr">
        <is>
          <t>Statistics for Psychology is an intermediate course in psychology. It covers descriptive statistics, probability, sampling distributions and hypothesis testing, and builds toward t-tests and ANOVA and correlation and regression. Students work through readings and short research reports, with later units on nonparametric tests and statistical software.</t>
        </is>
      </c>
      <c r="K70" s="3" t="inlineStr">
        <is>
          <t>Explain the core ideas of descriptive statistics | Apply probability to solve standard problems | Analyze problems involving sampling distributions | Use hypothesis testing in practical exercises | Evaluate approaches to t-tests and ANOVA | Communicate findings about correlation and regression</t>
        </is>
      </c>
      <c r="L70" s="3" t="inlineStr">
        <is>
          <t>descriptive statistics | probability | sampling distributions | hypothesis testing | t-tests and ANOVA | correlation and regression | nonparametric tests | statistical software</t>
        </is>
      </c>
    </row>
    <row r="71">
      <c r="A71" s="6" t="inlineStr">
        <is>
          <t>CAS PS 225</t>
        </is>
      </c>
      <c r="B71" s="6" t="inlineStr">
        <is>
          <t>PS</t>
        </is>
      </c>
      <c r="C71" s="6" t="inlineStr">
        <is>
          <t>Learning and Behavior</t>
        </is>
      </c>
      <c r="D71" s="6" t="inlineStr">
        <is>
          <t>Psychology</t>
        </is>
      </c>
      <c r="E71" s="6" t="inlineStr">
        <is>
          <t>Elective</t>
        </is>
      </c>
      <c r="F71" s="6" t="n">
        <v>200</v>
      </c>
      <c r="G71" s="6" t="n">
        <v>4</v>
      </c>
      <c r="H71" s="6" t="inlineStr"/>
      <c r="I71" s="3" t="inlineStr">
        <is>
          <t>Fully synthetic course (not a real BU offering)</t>
        </is>
      </c>
      <c r="J71" s="3" t="inlineStr">
        <is>
          <t>Learning and Behavior is an intermediate course in psychology. It covers classical conditioning, operant conditioning, reinforcement schedules and observational learning, and builds toward extinction and behavior modification. Students work through readings and short research reports, with later units on animal learning and learning theories.</t>
        </is>
      </c>
      <c r="K71" s="3" t="inlineStr">
        <is>
          <t>Explain the core ideas of classical conditioning | Apply operant conditioning to solve standard problems | Analyze problems involving reinforcement schedules | Use observational learning in practical exercises | Evaluate approaches to extinction | Communicate findings about behavior modification</t>
        </is>
      </c>
      <c r="L71" s="3" t="inlineStr">
        <is>
          <t>classical conditioning | operant conditioning | reinforcement schedules | observational learning | extinction | behavior modification | animal learning | learning theories</t>
        </is>
      </c>
    </row>
    <row r="72">
      <c r="A72" s="6" t="inlineStr">
        <is>
          <t>CAS PS 230</t>
        </is>
      </c>
      <c r="B72" s="6" t="inlineStr">
        <is>
          <t>PS</t>
        </is>
      </c>
      <c r="C72" s="6" t="inlineStr">
        <is>
          <t>Health Psychology</t>
        </is>
      </c>
      <c r="D72" s="6" t="inlineStr">
        <is>
          <t>Psychology</t>
        </is>
      </c>
      <c r="E72" s="6" t="inlineStr">
        <is>
          <t>Elective</t>
        </is>
      </c>
      <c r="F72" s="6" t="n">
        <v>200</v>
      </c>
      <c r="G72" s="6" t="n">
        <v>4</v>
      </c>
      <c r="H72" s="6" t="inlineStr"/>
      <c r="I72" s="3" t="inlineStr">
        <is>
          <t>Fully synthetic course (not a real BU offering)</t>
        </is>
      </c>
      <c r="J72" s="3" t="inlineStr">
        <is>
          <t>Health Psychology is an intermediate course in psychology. It covers stress and health, coping, health behaviors and chronic illness, and builds toward pain and patient-provider communication. Students work through readings and short research reports, with later units on health promotion and biopsychosocial model.</t>
        </is>
      </c>
      <c r="K72" s="3" t="inlineStr">
        <is>
          <t>Explain the core ideas of stress and health | Apply coping to solve standard problems | Analyze problems involving health behaviors | Use chronic illness in practical exercises | Evaluate approaches to pain | Communicate findings about patient-provider communication</t>
        </is>
      </c>
      <c r="L72" s="3" t="inlineStr">
        <is>
          <t>stress and health | coping | health behaviors | chronic illness | pain | patient-provider communication | health promotion | biopsychosocial model</t>
        </is>
      </c>
    </row>
    <row r="73">
      <c r="A73" s="6" t="inlineStr">
        <is>
          <t>CAS PS 244</t>
        </is>
      </c>
      <c r="B73" s="6" t="inlineStr">
        <is>
          <t>PS</t>
        </is>
      </c>
      <c r="C73" s="6" t="inlineStr">
        <is>
          <t>Adolescent Development</t>
        </is>
      </c>
      <c r="D73" s="6" t="inlineStr">
        <is>
          <t>Psychology</t>
        </is>
      </c>
      <c r="E73" s="6" t="inlineStr">
        <is>
          <t>Elective</t>
        </is>
      </c>
      <c r="F73" s="6" t="n">
        <v>200</v>
      </c>
      <c r="G73" s="6" t="n">
        <v>4</v>
      </c>
      <c r="H73" s="6" t="inlineStr"/>
      <c r="I73" s="3" t="inlineStr">
        <is>
          <t>Fully synthetic course (not a real BU offering)</t>
        </is>
      </c>
      <c r="J73" s="3" t="inlineStr">
        <is>
          <t>Adolescent Development is an intermediate course in psychology. It covers puberty, adolescent cognition, identity formation and peer relationships, and builds toward family relationships and risk behavior. Students work through readings and short research reports, with later units on adolescent mental health and social media and youth.</t>
        </is>
      </c>
      <c r="K73" s="3" t="inlineStr">
        <is>
          <t>Explain the core ideas of puberty | Apply adolescent cognition to solve standard problems | Analyze problems involving identity formation | Use peer relationships in practical exercises | Evaluate approaches to family relationships | Communicate findings about risk behavior</t>
        </is>
      </c>
      <c r="L73" s="3" t="inlineStr">
        <is>
          <t>puberty | adolescent cognition | identity formation | peer relationships | family relationships | risk behavior | adolescent mental health | social media and youth</t>
        </is>
      </c>
    </row>
    <row r="74">
      <c r="A74" s="6" t="inlineStr">
        <is>
          <t>CAS PS 245</t>
        </is>
      </c>
      <c r="B74" s="6" t="inlineStr">
        <is>
          <t>PS</t>
        </is>
      </c>
      <c r="C74" s="6" t="inlineStr">
        <is>
          <t>Adult Development and Aging</t>
        </is>
      </c>
      <c r="D74" s="6" t="inlineStr">
        <is>
          <t>Psychology</t>
        </is>
      </c>
      <c r="E74" s="6" t="inlineStr">
        <is>
          <t>Elective</t>
        </is>
      </c>
      <c r="F74" s="6" t="n">
        <v>200</v>
      </c>
      <c r="G74" s="6" t="n">
        <v>4</v>
      </c>
      <c r="H74" s="6" t="inlineStr"/>
      <c r="I74" s="3" t="inlineStr">
        <is>
          <t>Fully synthetic course (not a real BU offering)</t>
        </is>
      </c>
      <c r="J74" s="3" t="inlineStr">
        <is>
          <t>Adult Development and Aging is an intermediate course in psychology. It covers adult cognition, physical aging, memory and aging and relationships in adulthood, and builds toward work and retirement and dementia. Students work through readings and short research reports, with later units on death and dying and successful aging.</t>
        </is>
      </c>
      <c r="K74" s="3" t="inlineStr">
        <is>
          <t>Explain the core ideas of adult cognition | Apply physical aging to solve standard problems | Analyze problems involving memory and aging | Use relationships in adulthood in practical exercises | Evaluate approaches to work and retirement | Communicate findings about dementia</t>
        </is>
      </c>
      <c r="L74" s="3" t="inlineStr">
        <is>
          <t>adult cognition | physical aging | memory and aging | relationships in adulthood | work and retirement | dementia | death and dying | successful aging</t>
        </is>
      </c>
    </row>
    <row r="75">
      <c r="A75" s="6" t="inlineStr">
        <is>
          <t>CAS PS 255</t>
        </is>
      </c>
      <c r="B75" s="6" t="inlineStr">
        <is>
          <t>PS</t>
        </is>
      </c>
      <c r="C75" s="6" t="inlineStr">
        <is>
          <t>Psychology of Gender</t>
        </is>
      </c>
      <c r="D75" s="6" t="inlineStr">
        <is>
          <t>Psychology</t>
        </is>
      </c>
      <c r="E75" s="6" t="inlineStr">
        <is>
          <t>Elective</t>
        </is>
      </c>
      <c r="F75" s="6" t="n">
        <v>200</v>
      </c>
      <c r="G75" s="6" t="n">
        <v>4</v>
      </c>
      <c r="H75" s="6" t="inlineStr"/>
      <c r="I75" s="3" t="inlineStr">
        <is>
          <t>Fully synthetic course (not a real BU offering)</t>
        </is>
      </c>
      <c r="J75" s="3" t="inlineStr">
        <is>
          <t>Psychology of Gender is an intermediate course in psychology. It covers gender development, gender stereotypes, biological perspectives and social roles, and builds toward gender and relationships and gender and work. Students work through readings and short research reports, with later units on gender and mental health and research methods.</t>
        </is>
      </c>
      <c r="K75" s="3" t="inlineStr">
        <is>
          <t>Explain the core ideas of gender development | Apply gender stereotypes to solve standard problems | Analyze problems involving biological perspectives | Use social roles in practical exercises | Evaluate approaches to gender and relationships | Communicate findings about gender and work</t>
        </is>
      </c>
      <c r="L75" s="3" t="inlineStr">
        <is>
          <t>gender development | gender stereotypes | biological perspectives | social roles | gender and relationships | gender and work | gender and mental health | research methods</t>
        </is>
      </c>
    </row>
    <row r="76">
      <c r="A76" s="6" t="inlineStr">
        <is>
          <t>CAS PS 265</t>
        </is>
      </c>
      <c r="B76" s="6" t="inlineStr">
        <is>
          <t>PS</t>
        </is>
      </c>
      <c r="C76" s="6" t="inlineStr">
        <is>
          <t>Cross-Cultural Psychology</t>
        </is>
      </c>
      <c r="D76" s="6" t="inlineStr">
        <is>
          <t>Psychology</t>
        </is>
      </c>
      <c r="E76" s="6" t="inlineStr">
        <is>
          <t>Elective</t>
        </is>
      </c>
      <c r="F76" s="6" t="n">
        <v>200</v>
      </c>
      <c r="G76" s="6" t="n">
        <v>4</v>
      </c>
      <c r="H76" s="6" t="inlineStr"/>
      <c r="I76" s="3" t="inlineStr">
        <is>
          <t>Fully synthetic course (not a real BU offering)</t>
        </is>
      </c>
      <c r="J76" s="3" t="inlineStr">
        <is>
          <t>Cross-Cultural Psychology is an intermediate course in psychology. It covers culture and cognition, culture and emotion, acculturation and individualism and collectivism, and builds toward cultural research methods and culture and development. Students work through readings and short research reports, with later units on culture and mental health and intergroup relations.</t>
        </is>
      </c>
      <c r="K76" s="3" t="inlineStr">
        <is>
          <t>Explain the core ideas of culture and cognition | Apply culture and emotion to solve standard problems | Analyze problems involving acculturation | Use individualism and collectivism in practical exercises | Evaluate approaches to cultural research methods | Communicate findings about culture and development</t>
        </is>
      </c>
      <c r="L76" s="3" t="inlineStr">
        <is>
          <t>culture and cognition | culture and emotion | acculturation | individualism and collectivism | cultural research methods | culture and development | culture and mental health | intergroup relations</t>
        </is>
      </c>
    </row>
    <row r="77">
      <c r="A77" s="6" t="inlineStr">
        <is>
          <t>CAS PS 270</t>
        </is>
      </c>
      <c r="B77" s="6" t="inlineStr">
        <is>
          <t>PS</t>
        </is>
      </c>
      <c r="C77" s="6" t="inlineStr">
        <is>
          <t>Industrial-Organizational Psychology</t>
        </is>
      </c>
      <c r="D77" s="6" t="inlineStr">
        <is>
          <t>Psychology</t>
        </is>
      </c>
      <c r="E77" s="6" t="inlineStr">
        <is>
          <t>Elective</t>
        </is>
      </c>
      <c r="F77" s="6" t="n">
        <v>200</v>
      </c>
      <c r="G77" s="6" t="n">
        <v>4</v>
      </c>
      <c r="H77" s="6" t="inlineStr"/>
      <c r="I77" s="3" t="inlineStr">
        <is>
          <t>Fully synthetic course (not a real BU offering)</t>
        </is>
      </c>
      <c r="J77" s="3" t="inlineStr">
        <is>
          <t>Industrial-Organizational Psychology is an intermediate course in psychology. It covers job analysis, personnel selection, performance appraisal and training, and builds toward work motivation and leadership. Students work through readings and short research reports, with later units on organizational culture and workplace well-being.</t>
        </is>
      </c>
      <c r="K77" s="3" t="inlineStr">
        <is>
          <t>Explain the core ideas of job analysis | Apply personnel selection to solve standard problems | Analyze problems involving performance appraisal | Use training in practical exercises | Evaluate approaches to work motivation | Communicate findings about leadership</t>
        </is>
      </c>
      <c r="L77" s="3" t="inlineStr">
        <is>
          <t>job analysis | personnel selection | performance appraisal | training | work motivation | leadership | organizational culture | workplace well-being</t>
        </is>
      </c>
    </row>
    <row r="78">
      <c r="A78" s="6" t="inlineStr">
        <is>
          <t>CAS PS 275</t>
        </is>
      </c>
      <c r="B78" s="6" t="inlineStr">
        <is>
          <t>PS</t>
        </is>
      </c>
      <c r="C78" s="6" t="inlineStr">
        <is>
          <t>Psychology of Language</t>
        </is>
      </c>
      <c r="D78" s="6" t="inlineStr">
        <is>
          <t>Psychology</t>
        </is>
      </c>
      <c r="E78" s="6" t="inlineStr">
        <is>
          <t>Elective</t>
        </is>
      </c>
      <c r="F78" s="6" t="n">
        <v>200</v>
      </c>
      <c r="G78" s="6" t="n">
        <v>4</v>
      </c>
      <c r="H78" s="6" t="inlineStr"/>
      <c r="I78" s="3" t="inlineStr">
        <is>
          <t>Fully synthetic course (not a real BU offering)</t>
        </is>
      </c>
      <c r="J78" s="3" t="inlineStr">
        <is>
          <t>Psychology of Language is an intermediate course in psychology. It covers speech perception, word recognition, sentence processing and language acquisition, and builds toward bilingualism and language and thought. Students work through readings and short research reports, with later units on reading and language and the brain.</t>
        </is>
      </c>
      <c r="K78" s="3" t="inlineStr">
        <is>
          <t>Explain the core ideas of speech perception | Apply word recognition to solve standard problems | Analyze problems involving sentence processing | Use language acquisition in practical exercises | Evaluate approaches to bilingualism | Communicate findings about language and thought</t>
        </is>
      </c>
      <c r="L78" s="3" t="inlineStr">
        <is>
          <t>speech perception | word recognition | sentence processing | language acquisition | bilingualism | language and thought | reading | language and the brain</t>
        </is>
      </c>
    </row>
    <row r="79">
      <c r="A79" s="6" t="inlineStr">
        <is>
          <t>CAS PS 280</t>
        </is>
      </c>
      <c r="B79" s="6" t="inlineStr">
        <is>
          <t>PS</t>
        </is>
      </c>
      <c r="C79" s="6" t="inlineStr">
        <is>
          <t>Positive Psychology</t>
        </is>
      </c>
      <c r="D79" s="6" t="inlineStr">
        <is>
          <t>Psychology</t>
        </is>
      </c>
      <c r="E79" s="6" t="inlineStr">
        <is>
          <t>Elective</t>
        </is>
      </c>
      <c r="F79" s="6" t="n">
        <v>200</v>
      </c>
      <c r="G79" s="6" t="n">
        <v>4</v>
      </c>
      <c r="H79" s="6" t="inlineStr"/>
      <c r="I79" s="3" t="inlineStr">
        <is>
          <t>Fully synthetic course (not a real BU offering)</t>
        </is>
      </c>
      <c r="J79" s="3" t="inlineStr">
        <is>
          <t>Positive Psychology is an intermediate course in psychology. It covers well-being, happiness, character strengths and gratitude, and builds toward resilience and flow. Students work through readings and short research reports, with later units on mindfulness and positive relationships.</t>
        </is>
      </c>
      <c r="K79" s="3" t="inlineStr">
        <is>
          <t>Explain the core ideas of well-being | Apply happiness to solve standard problems | Analyze problems involving character strengths | Use gratitude in practical exercises | Evaluate approaches to resilience | Communicate findings about flow</t>
        </is>
      </c>
      <c r="L79" s="3" t="inlineStr">
        <is>
          <t>well-being | happiness | character strengths | gratitude | resilience | flow | mindfulness | positive relationships</t>
        </is>
      </c>
    </row>
    <row r="80">
      <c r="A80" s="6" t="inlineStr">
        <is>
          <t>CAS PS 290</t>
        </is>
      </c>
      <c r="B80" s="6" t="inlineStr">
        <is>
          <t>PS</t>
        </is>
      </c>
      <c r="C80" s="6" t="inlineStr">
        <is>
          <t>Drugs and Behavior</t>
        </is>
      </c>
      <c r="D80" s="6" t="inlineStr">
        <is>
          <t>Psychology</t>
        </is>
      </c>
      <c r="E80" s="6" t="inlineStr">
        <is>
          <t>Elective</t>
        </is>
      </c>
      <c r="F80" s="6" t="n">
        <v>200</v>
      </c>
      <c r="G80" s="6" t="n">
        <v>4</v>
      </c>
      <c r="H80" s="6" t="inlineStr"/>
      <c r="I80" s="3" t="inlineStr">
        <is>
          <t>Fully synthetic course (not a real BU offering)</t>
        </is>
      </c>
      <c r="J80" s="3" t="inlineStr">
        <is>
          <t>Drugs and Behavior is an intermediate course in psychology. It covers pharmacology basics, neurotransmitters, stimulants and depressants, and builds toward addiction and drug policy. Students work through readings and short research reports, with later units on psychiatric medications and substance use treatment.</t>
        </is>
      </c>
      <c r="K80" s="3" t="inlineStr">
        <is>
          <t>Explain the core ideas of pharmacology basics | Apply neurotransmitters to solve standard problems | Analyze problems involving stimulants | Use depressants in practical exercises | Evaluate approaches to addiction | Communicate findings about drug policy</t>
        </is>
      </c>
      <c r="L80" s="3" t="inlineStr">
        <is>
          <t>pharmacology basics | neurotransmitters | stimulants | depressants | addiction | drug policy | psychiatric medications | substance use treatment</t>
        </is>
      </c>
    </row>
    <row r="81">
      <c r="A81" s="6" t="inlineStr">
        <is>
          <t>CAS PS 310</t>
        </is>
      </c>
      <c r="B81" s="6" t="inlineStr">
        <is>
          <t>PS</t>
        </is>
      </c>
      <c r="C81" s="6" t="inlineStr">
        <is>
          <t>Clinical Psychology</t>
        </is>
      </c>
      <c r="D81" s="6" t="inlineStr">
        <is>
          <t>Psychology</t>
        </is>
      </c>
      <c r="E81" s="6" t="inlineStr">
        <is>
          <t>Elective</t>
        </is>
      </c>
      <c r="F81" s="6" t="n">
        <v>300</v>
      </c>
      <c r="G81" s="6" t="n">
        <v>4</v>
      </c>
      <c r="H81" s="6" t="inlineStr"/>
      <c r="I81" s="3" t="inlineStr">
        <is>
          <t>Fully synthetic course (not a real BU offering)</t>
        </is>
      </c>
      <c r="J81" s="3" t="inlineStr">
        <is>
          <t>Clinical Psychology is an advanced course in psychology. It covers clinical assessment, diagnostic classification, psychotherapy approaches and cognitive-behavioral therapy, and builds toward evidence-based treatment and ethics in practice. Students work through readings and short research reports, with later units on clinical research and case formulation.</t>
        </is>
      </c>
      <c r="K81" s="3" t="inlineStr">
        <is>
          <t>Explain the core ideas of clinical assessment | Apply diagnostic classification to solve standard problems | Analyze problems involving psychotherapy approaches | Use cognitive-behavioral therapy in practical exercises | Evaluate approaches to evidence-based treatment | Communicate findings about ethics in practice</t>
        </is>
      </c>
      <c r="L81" s="3" t="inlineStr">
        <is>
          <t>clinical assessment | diagnostic classification | psychotherapy approaches | cognitive-behavioral therapy | evidence-based treatment | ethics in practice | clinical research | case formulation</t>
        </is>
      </c>
    </row>
    <row r="82">
      <c r="A82" s="6" t="inlineStr">
        <is>
          <t>CAS PS 320</t>
        </is>
      </c>
      <c r="B82" s="6" t="inlineStr">
        <is>
          <t>PS</t>
        </is>
      </c>
      <c r="C82" s="6" t="inlineStr">
        <is>
          <t>Cognitive Neuroscience</t>
        </is>
      </c>
      <c r="D82" s="6" t="inlineStr">
        <is>
          <t>Psychology</t>
        </is>
      </c>
      <c r="E82" s="6" t="inlineStr">
        <is>
          <t>Elective</t>
        </is>
      </c>
      <c r="F82" s="6" t="n">
        <v>300</v>
      </c>
      <c r="G82" s="6" t="n">
        <v>4</v>
      </c>
      <c r="H82" s="6" t="inlineStr"/>
      <c r="I82" s="3" t="inlineStr">
        <is>
          <t>Fully synthetic course (not a real BU offering)</t>
        </is>
      </c>
      <c r="J82" s="3" t="inlineStr">
        <is>
          <t>Cognitive Neuroscience is an advanced course in psychology. It covers brain imaging methods, neurons and synapses, attention and memory systems, and builds toward language and the brain and executive function. Students work through readings and short research reports, with later units on emotion and the brain and neuroplasticity.</t>
        </is>
      </c>
      <c r="K82" s="3" t="inlineStr">
        <is>
          <t>Explain the core ideas of brain imaging methods | Apply neurons and synapses to solve standard problems | Analyze problems involving attention | Use memory systems in practical exercises | Evaluate approaches to language and the brain | Communicate findings about executive function</t>
        </is>
      </c>
      <c r="L82" s="3" t="inlineStr">
        <is>
          <t>brain imaging methods | neurons and synapses | attention | memory systems | language and the brain | executive function | emotion and the brain | neuroplasticity</t>
        </is>
      </c>
    </row>
    <row r="83">
      <c r="A83" s="6" t="inlineStr">
        <is>
          <t>CAS PS 325</t>
        </is>
      </c>
      <c r="B83" s="6" t="inlineStr">
        <is>
          <t>PS</t>
        </is>
      </c>
      <c r="C83" s="6" t="inlineStr">
        <is>
          <t>Human Memory</t>
        </is>
      </c>
      <c r="D83" s="6" t="inlineStr">
        <is>
          <t>Psychology</t>
        </is>
      </c>
      <c r="E83" s="6" t="inlineStr">
        <is>
          <t>Elective</t>
        </is>
      </c>
      <c r="F83" s="6" t="n">
        <v>300</v>
      </c>
      <c r="G83" s="6" t="n">
        <v>4</v>
      </c>
      <c r="H83" s="6" t="inlineStr"/>
      <c r="I83" s="3" t="inlineStr">
        <is>
          <t>Fully synthetic course (not a real BU offering)</t>
        </is>
      </c>
      <c r="J83" s="3" t="inlineStr">
        <is>
          <t>Human Memory is an advanced course in psychology. It covers encoding, working memory, long-term memory and forgetting, and builds toward false memory and memory and aging. Students work through readings and short research reports, with later units on eyewitness testimony and memory improvement.</t>
        </is>
      </c>
      <c r="K83" s="3" t="inlineStr">
        <is>
          <t>Explain the core ideas of encoding | Apply working memory to solve standard problems | Analyze problems involving long-term memory | Use forgetting in practical exercises | Evaluate approaches to false memory | Communicate findings about memory and aging</t>
        </is>
      </c>
      <c r="L83" s="3" t="inlineStr">
        <is>
          <t>encoding | working memory | long-term memory | forgetting | false memory | memory and aging | eyewitness testimony | memory improvement</t>
        </is>
      </c>
    </row>
    <row r="84">
      <c r="A84" s="6" t="inlineStr">
        <is>
          <t>CAS PS 330</t>
        </is>
      </c>
      <c r="B84" s="6" t="inlineStr">
        <is>
          <t>PS</t>
        </is>
      </c>
      <c r="C84" s="6" t="inlineStr">
        <is>
          <t>Sensation and Perception Laboratory</t>
        </is>
      </c>
      <c r="D84" s="6" t="inlineStr">
        <is>
          <t>Psychology</t>
        </is>
      </c>
      <c r="E84" s="6" t="inlineStr">
        <is>
          <t>Elective</t>
        </is>
      </c>
      <c r="F84" s="6" t="n">
        <v>300</v>
      </c>
      <c r="G84" s="6" t="n">
        <v>4</v>
      </c>
      <c r="H84" s="6" t="inlineStr"/>
      <c r="I84" s="3" t="inlineStr">
        <is>
          <t>Fully synthetic course (not a real BU offering)</t>
        </is>
      </c>
      <c r="J84" s="3" t="inlineStr">
        <is>
          <t>Sensation and Perception Laboratory is an advanced course in psychology. It covers psychophysics, visual system, auditory perception and experimental design, and builds toward data analysis and attention. Students work through readings and short research reports, with later units on laboratory methods and scientific writing.</t>
        </is>
      </c>
      <c r="K84" s="3" t="inlineStr">
        <is>
          <t>Explain the core ideas of psychophysics | Apply visual system to solve standard problems | Analyze problems involving auditory perception | Use experimental design in practical exercises | Evaluate approaches to data analysis | Communicate findings about attention</t>
        </is>
      </c>
      <c r="L84" s="3" t="inlineStr">
        <is>
          <t>psychophysics | visual system | auditory perception | experimental design | data analysis | attention | laboratory methods | scientific writing</t>
        </is>
      </c>
    </row>
    <row r="85">
      <c r="A85" s="6" t="inlineStr">
        <is>
          <t>CAS PS 340</t>
        </is>
      </c>
      <c r="B85" s="6" t="inlineStr">
        <is>
          <t>PS</t>
        </is>
      </c>
      <c r="C85" s="6" t="inlineStr">
        <is>
          <t>Child Psychopathology</t>
        </is>
      </c>
      <c r="D85" s="6" t="inlineStr">
        <is>
          <t>Psychology</t>
        </is>
      </c>
      <c r="E85" s="6" t="inlineStr">
        <is>
          <t>Elective</t>
        </is>
      </c>
      <c r="F85" s="6" t="n">
        <v>300</v>
      </c>
      <c r="G85" s="6" t="n">
        <v>4</v>
      </c>
      <c r="H85" s="6" t="inlineStr"/>
      <c r="I85" s="3" t="inlineStr">
        <is>
          <t>Fully synthetic course (not a real BU offering)</t>
        </is>
      </c>
      <c r="J85" s="3" t="inlineStr">
        <is>
          <t>Child Psychopathology is an advanced course in psychology. It covers developmental psychopathology, ADHD, autism spectrum disorder and childhood anxiety, and builds toward childhood depression and conduct problems. Students work through readings and short research reports, with later units on assessment of children and family-based treatment.</t>
        </is>
      </c>
      <c r="K85" s="3" t="inlineStr">
        <is>
          <t>Explain the core ideas of developmental psychopathology | Apply ADHD to solve standard problems | Analyze problems involving autism spectrum disorder | Use childhood anxiety in practical exercises | Evaluate approaches to childhood depression | Communicate findings about conduct problems</t>
        </is>
      </c>
      <c r="L85" s="3" t="inlineStr">
        <is>
          <t>developmental psychopathology | ADHD | autism spectrum disorder | childhood anxiety | childhood depression | conduct problems | assessment of children | family-based treatment</t>
        </is>
      </c>
    </row>
    <row r="86">
      <c r="A86" s="6" t="inlineStr">
        <is>
          <t>CAS PS 350</t>
        </is>
      </c>
      <c r="B86" s="6" t="inlineStr">
        <is>
          <t>PS</t>
        </is>
      </c>
      <c r="C86" s="6" t="inlineStr">
        <is>
          <t>Forensic Psychology</t>
        </is>
      </c>
      <c r="D86" s="6" t="inlineStr">
        <is>
          <t>Psychology</t>
        </is>
      </c>
      <c r="E86" s="6" t="inlineStr">
        <is>
          <t>Elective</t>
        </is>
      </c>
      <c r="F86" s="6" t="n">
        <v>300</v>
      </c>
      <c r="G86" s="6" t="n">
        <v>4</v>
      </c>
      <c r="H86" s="6" t="inlineStr"/>
      <c r="I86" s="3" t="inlineStr">
        <is>
          <t>Fully synthetic course (not a real BU offering)</t>
        </is>
      </c>
      <c r="J86" s="3" t="inlineStr">
        <is>
          <t>Forensic Psychology is an advanced course in psychology. It covers psychology and law, eyewitness testimony, criminal behavior and risk assessment, and builds toward competency evaluation and jury decision making. Students work through readings and short research reports, with later units on interrogation and correctional psychology.</t>
        </is>
      </c>
      <c r="K86" s="3" t="inlineStr">
        <is>
          <t>Explain the core ideas of psychology and law | Apply eyewitness testimony to solve standard problems | Analyze problems involving criminal behavior | Use risk assessment in practical exercises | Evaluate approaches to competency evaluation | Communicate findings about jury decision making</t>
        </is>
      </c>
      <c r="L86" s="3" t="inlineStr">
        <is>
          <t>psychology and law | eyewitness testimony | criminal behavior | risk assessment | competency evaluation | jury decision making | interrogation | correctional psychology</t>
        </is>
      </c>
    </row>
    <row r="87">
      <c r="A87" s="6" t="inlineStr">
        <is>
          <t>CAS PS 360</t>
        </is>
      </c>
      <c r="B87" s="6" t="inlineStr">
        <is>
          <t>PS</t>
        </is>
      </c>
      <c r="C87" s="6" t="inlineStr">
        <is>
          <t>Sleep and Circadian Rhythms</t>
        </is>
      </c>
      <c r="D87" s="6" t="inlineStr">
        <is>
          <t>Psychology</t>
        </is>
      </c>
      <c r="E87" s="6" t="inlineStr">
        <is>
          <t>Elective</t>
        </is>
      </c>
      <c r="F87" s="6" t="n">
        <v>300</v>
      </c>
      <c r="G87" s="6" t="n">
        <v>4</v>
      </c>
      <c r="H87" s="6" t="inlineStr"/>
      <c r="I87" s="3" t="inlineStr">
        <is>
          <t>Fully synthetic course (not a real BU offering)</t>
        </is>
      </c>
      <c r="J87" s="3" t="inlineStr">
        <is>
          <t>Sleep and Circadian Rhythms is an advanced course in psychology. It covers sleep stages, circadian rhythms, sleep regulation and dreams, and builds toward sleep disorders and sleep and memory. Students work through readings and short research reports, with later units on sleep deprivation and sleep across the lifespan.</t>
        </is>
      </c>
      <c r="K87" s="3" t="inlineStr">
        <is>
          <t>Explain the core ideas of sleep stages | Apply circadian rhythms to solve standard problems | Analyze problems involving sleep regulation | Use dreams in practical exercises | Evaluate approaches to sleep disorders | Communicate findings about sleep and memory</t>
        </is>
      </c>
      <c r="L87" s="3" t="inlineStr">
        <is>
          <t>sleep stages | circadian rhythms | sleep regulation | dreams | sleep disorders | sleep and memory | sleep deprivation | sleep across the lifespan</t>
        </is>
      </c>
    </row>
    <row r="88">
      <c r="A88" s="6" t="inlineStr">
        <is>
          <t>CAS PS 375</t>
        </is>
      </c>
      <c r="B88" s="6" t="inlineStr">
        <is>
          <t>PS</t>
        </is>
      </c>
      <c r="C88" s="6" t="inlineStr">
        <is>
          <t>Theories of Counseling</t>
        </is>
      </c>
      <c r="D88" s="6" t="inlineStr">
        <is>
          <t>Psychology</t>
        </is>
      </c>
      <c r="E88" s="6" t="inlineStr">
        <is>
          <t>Elective</t>
        </is>
      </c>
      <c r="F88" s="6" t="n">
        <v>300</v>
      </c>
      <c r="G88" s="6" t="n">
        <v>4</v>
      </c>
      <c r="H88" s="6" t="inlineStr"/>
      <c r="I88" s="3" t="inlineStr">
        <is>
          <t>Fully synthetic course (not a real BU offering)</t>
        </is>
      </c>
      <c r="J88" s="3" t="inlineStr">
        <is>
          <t>Theories of Counseling is an advanced course in psychology. It covers counseling relationship, psychodynamic approaches, humanistic approaches and cognitive-behavioral therapy, and builds toward family systems and multicultural counseling. Students work through readings and short research reports, with later units on ethics in practice and case formulation.</t>
        </is>
      </c>
      <c r="K88" s="3" t="inlineStr">
        <is>
          <t>Explain the core ideas of counseling relationship | Apply psychodynamic approaches to solve standard problems | Analyze problems involving humanistic approaches | Use cognitive-behavioral therapy in practical exercises | Evaluate approaches to family systems | Communicate findings about multicultural counseling</t>
        </is>
      </c>
      <c r="L88" s="3" t="inlineStr">
        <is>
          <t>counseling relationship | psychodynamic approaches | humanistic approaches | cognitive-behavioral therapy | family systems | multicultural counseling | ethics in practice | case formulation</t>
        </is>
      </c>
    </row>
    <row r="89">
      <c r="A89" s="6" t="inlineStr">
        <is>
          <t>CAS PS 380</t>
        </is>
      </c>
      <c r="B89" s="6" t="inlineStr">
        <is>
          <t>PS</t>
        </is>
      </c>
      <c r="C89" s="6" t="inlineStr">
        <is>
          <t>Psychology of Emotion</t>
        </is>
      </c>
      <c r="D89" s="6" t="inlineStr">
        <is>
          <t>Psychology</t>
        </is>
      </c>
      <c r="E89" s="6" t="inlineStr">
        <is>
          <t>Elective</t>
        </is>
      </c>
      <c r="F89" s="6" t="n">
        <v>300</v>
      </c>
      <c r="G89" s="6" t="n">
        <v>4</v>
      </c>
      <c r="H89" s="6" t="inlineStr"/>
      <c r="I89" s="3" t="inlineStr">
        <is>
          <t>Fully synthetic course (not a real BU offering)</t>
        </is>
      </c>
      <c r="J89" s="3" t="inlineStr">
        <is>
          <t>Psychology of Emotion is an advanced course in psychology. It covers theories of emotion, emotion and the brain, facial expression and emotion regulation, and builds toward emotion and cognition and culture and emotion. Students work through readings and short research reports, with later units on emotional development and emotion and health.</t>
        </is>
      </c>
      <c r="K89" s="3" t="inlineStr">
        <is>
          <t>Explain the core ideas of theories of emotion | Apply emotion and the brain to solve standard problems | Analyze problems involving facial expression | Use emotion regulation in practical exercises | Evaluate approaches to emotion and cognition | Communicate findings about culture and emotion</t>
        </is>
      </c>
      <c r="L89" s="3" t="inlineStr">
        <is>
          <t>theories of emotion | emotion and the brain | facial expression | emotion regulation | emotion and cognition | culture and emotion | emotional development | emotion and health</t>
        </is>
      </c>
    </row>
    <row r="90">
      <c r="A90" s="6" t="inlineStr">
        <is>
          <t>CAS BI 107</t>
        </is>
      </c>
      <c r="B90" s="6" t="inlineStr">
        <is>
          <t>BI</t>
        </is>
      </c>
      <c r="C90" s="6" t="inlineStr">
        <is>
          <t>Biology 1</t>
        </is>
      </c>
      <c r="D90" s="6" t="inlineStr">
        <is>
          <t>Biology</t>
        </is>
      </c>
      <c r="E90" s="6" t="inlineStr">
        <is>
          <t>Intro</t>
        </is>
      </c>
      <c r="F90" s="6" t="n">
        <v>100</v>
      </c>
      <c r="G90" s="6" t="n">
        <v>4</v>
      </c>
      <c r="H90" s="6" t="inlineStr"/>
      <c r="I90" s="3" t="inlineStr">
        <is>
          <t>Code/title from provided BU workbook (public catalog); description synthetic</t>
        </is>
      </c>
      <c r="J90" s="3" t="inlineStr">
        <is>
          <t>Biology 1 is an introductory course in biology. It covers scientific method, chemistry of life, cell structure and evolution, and builds toward Mendelian genetics and ecology. Students work through weekly laboratory sessions, with later units on biodiversity and laboratory techniques.</t>
        </is>
      </c>
      <c r="K90" s="3" t="inlineStr">
        <is>
          <t>Explain the core ideas of scientific method | Apply chemistry of life to solve standard problems | Analyze problems involving cell structure | Use evolution in practical exercises | Evaluate approaches to Mendelian genetics | Communicate findings about ecology</t>
        </is>
      </c>
      <c r="L90" s="3" t="inlineStr">
        <is>
          <t>scientific method | chemistry of life | cell structure | evolution | Mendelian genetics | ecology | biodiversity | laboratory techniques</t>
        </is>
      </c>
    </row>
    <row r="91">
      <c r="A91" s="6" t="inlineStr">
        <is>
          <t>CAS BI 108</t>
        </is>
      </c>
      <c r="B91" s="6" t="inlineStr">
        <is>
          <t>BI</t>
        </is>
      </c>
      <c r="C91" s="6" t="inlineStr">
        <is>
          <t>Biology 2</t>
        </is>
      </c>
      <c r="D91" s="6" t="inlineStr">
        <is>
          <t>Biology</t>
        </is>
      </c>
      <c r="E91" s="6" t="inlineStr">
        <is>
          <t>Intro</t>
        </is>
      </c>
      <c r="F91" s="6" t="n">
        <v>100</v>
      </c>
      <c r="G91" s="6" t="n">
        <v>4</v>
      </c>
      <c r="H91" s="6" t="inlineStr"/>
      <c r="I91" s="3" t="inlineStr">
        <is>
          <t>Code/title from provided BU workbook (public catalog); description synthetic</t>
        </is>
      </c>
      <c r="J91" s="3" t="inlineStr">
        <is>
          <t>Biology 2 is an introductory course in biology. It covers cell metabolism, photosynthesis, cellular respiration and molecular genetics, and builds toward gene expression and cell division. Students work through weekly laboratory sessions, with later units on physiology and laboratory techniques.</t>
        </is>
      </c>
      <c r="K91" s="3" t="inlineStr">
        <is>
          <t>Explain the core ideas of cell metabolism | Apply photosynthesis to solve standard problems | Analyze problems involving cellular respiration | Use molecular genetics in practical exercises | Evaluate approaches to gene expression | Communicate findings about cell division</t>
        </is>
      </c>
      <c r="L91" s="3" t="inlineStr">
        <is>
          <t>cell metabolism | photosynthesis | cellular respiration | molecular genetics | gene expression | cell division | physiology | laboratory techniques</t>
        </is>
      </c>
    </row>
    <row r="92">
      <c r="A92" s="6" t="inlineStr">
        <is>
          <t>CAS BI 203</t>
        </is>
      </c>
      <c r="B92" s="6" t="inlineStr">
        <is>
          <t>BI</t>
        </is>
      </c>
      <c r="C92" s="6" t="inlineStr">
        <is>
          <t>Cell Biology</t>
        </is>
      </c>
      <c r="D92" s="6" t="inlineStr">
        <is>
          <t>Biology</t>
        </is>
      </c>
      <c r="E92" s="6" t="inlineStr">
        <is>
          <t>Core</t>
        </is>
      </c>
      <c r="F92" s="6" t="n">
        <v>200</v>
      </c>
      <c r="G92" s="6" t="n">
        <v>4</v>
      </c>
      <c r="H92" s="3" t="inlineStr">
        <is>
          <t>Biology: at least five BI courses beyond BI 107/108 must be taken at BU</t>
        </is>
      </c>
      <c r="I92" s="3" t="inlineStr">
        <is>
          <t>Code/title from provided BU workbook (public catalog); description synthetic</t>
        </is>
      </c>
      <c r="J92" s="3" t="inlineStr">
        <is>
          <t>Cell Biology is an intermediate course in biology. It covers membrane structure, protein trafficking, cytoskeleton and cell signaling, and builds toward cell cycle and organelles. Students work through weekly laboratory sessions, with later units on cell communication and microscopy.</t>
        </is>
      </c>
      <c r="K92" s="3" t="inlineStr">
        <is>
          <t>Explain the core ideas of membrane structure | Apply protein trafficking to solve standard problems | Analyze problems involving cytoskeleton | Use cell signaling in practical exercises | Evaluate approaches to cell cycle | Communicate findings about organelles</t>
        </is>
      </c>
      <c r="L92" s="3" t="inlineStr">
        <is>
          <t>membrane structure | protein trafficking | cytoskeleton | cell signaling | cell cycle | organelles | cell communication | microscopy</t>
        </is>
      </c>
    </row>
    <row r="93">
      <c r="A93" s="6" t="inlineStr">
        <is>
          <t>CAS BI 206</t>
        </is>
      </c>
      <c r="B93" s="6" t="inlineStr">
        <is>
          <t>BI</t>
        </is>
      </c>
      <c r="C93" s="6" t="inlineStr">
        <is>
          <t>Genetics</t>
        </is>
      </c>
      <c r="D93" s="6" t="inlineStr">
        <is>
          <t>Biology</t>
        </is>
      </c>
      <c r="E93" s="6" t="inlineStr">
        <is>
          <t>Core</t>
        </is>
      </c>
      <c r="F93" s="6" t="n">
        <v>200</v>
      </c>
      <c r="G93" s="6" t="n">
        <v>4</v>
      </c>
      <c r="H93" s="3" t="inlineStr">
        <is>
          <t>Biology: at least five BI courses beyond BI 107/108 must be taken at BU</t>
        </is>
      </c>
      <c r="I93" s="3" t="inlineStr">
        <is>
          <t>Code/title from provided BU workbook (public catalog); description synthetic</t>
        </is>
      </c>
      <c r="J93" s="3" t="inlineStr">
        <is>
          <t>Genetics is an intermediate course in biology. It covers Mendelian genetics, chromosomes, DNA replication and gene expression, and builds toward mutation and population genetics. Students work through weekly laboratory sessions, with later units on genetic mapping and genomics.</t>
        </is>
      </c>
      <c r="K93" s="3" t="inlineStr">
        <is>
          <t>Explain the core ideas of Mendelian genetics | Apply chromosomes to solve standard problems | Analyze problems involving DNA replication | Use gene expression in practical exercises | Evaluate approaches to mutation | Communicate findings about population genetics</t>
        </is>
      </c>
      <c r="L93" s="3" t="inlineStr">
        <is>
          <t>Mendelian genetics | chromosomes | DNA replication | gene expression | mutation | population genetics | genetic mapping | genomics</t>
        </is>
      </c>
    </row>
    <row r="94">
      <c r="A94" s="6" t="inlineStr">
        <is>
          <t>CAS CH 101</t>
        </is>
      </c>
      <c r="B94" s="6" t="inlineStr">
        <is>
          <t>CH</t>
        </is>
      </c>
      <c r="C94" s="6" t="inlineStr">
        <is>
          <t>General Chemistry 1</t>
        </is>
      </c>
      <c r="D94" s="6" t="inlineStr">
        <is>
          <t>Biology</t>
        </is>
      </c>
      <c r="E94" s="6" t="inlineStr">
        <is>
          <t>Supporting (Chemistry)</t>
        </is>
      </c>
      <c r="F94" s="6" t="n">
        <v>100</v>
      </c>
      <c r="G94" s="6" t="n">
        <v>4</v>
      </c>
      <c r="H94" s="6" t="inlineStr"/>
      <c r="I94" s="3" t="inlineStr">
        <is>
          <t>Code/title from provided BU workbook (public catalog); description synthetic</t>
        </is>
      </c>
      <c r="J94" s="3" t="inlineStr">
        <is>
          <t>General Chemistry 1 is an introductory course in biology. It covers atomic structure, periodic trends, chemical bonding and stoichiometry, and builds toward gas laws and thermochemistry. Students work through weekly laboratory sessions, with later units on solutions and laboratory safety.</t>
        </is>
      </c>
      <c r="K94" s="3" t="inlineStr">
        <is>
          <t>Explain the core ideas of atomic structure | Apply periodic trends to solve standard problems | Analyze problems involving chemical bonding | Use stoichiometry in practical exercises | Evaluate approaches to gas laws | Communicate findings about thermochemistry</t>
        </is>
      </c>
      <c r="L94" s="3" t="inlineStr">
        <is>
          <t>atomic structure | periodic trends | chemical bonding | stoichiometry | gas laws | thermochemistry | solutions | laboratory safety</t>
        </is>
      </c>
    </row>
    <row r="95">
      <c r="A95" s="6" t="inlineStr">
        <is>
          <t>CAS CH 102</t>
        </is>
      </c>
      <c r="B95" s="6" t="inlineStr">
        <is>
          <t>CH</t>
        </is>
      </c>
      <c r="C95" s="6" t="inlineStr">
        <is>
          <t>General Chemistry 2</t>
        </is>
      </c>
      <c r="D95" s="6" t="inlineStr">
        <is>
          <t>Biology</t>
        </is>
      </c>
      <c r="E95" s="6" t="inlineStr">
        <is>
          <t>Supporting (Chemistry)</t>
        </is>
      </c>
      <c r="F95" s="6" t="n">
        <v>100</v>
      </c>
      <c r="G95" s="6" t="n">
        <v>4</v>
      </c>
      <c r="H95" s="6" t="inlineStr"/>
      <c r="I95" s="3" t="inlineStr">
        <is>
          <t>Code/title from provided BU workbook (public catalog); description synthetic</t>
        </is>
      </c>
      <c r="J95" s="3" t="inlineStr">
        <is>
          <t>General Chemistry 2 is an introductory course in biology. It covers chemical kinetics, chemical equilibrium, acids and bases and buffers, and builds toward thermodynamics and electrochemistry. Students work through weekly laboratory sessions, with later units on nuclear chemistry and laboratory techniques.</t>
        </is>
      </c>
      <c r="K95" s="3" t="inlineStr">
        <is>
          <t>Explain the core ideas of chemical kinetics | Apply chemical equilibrium to solve standard problems | Analyze problems involving acids and bases | Use buffers in practical exercises | Evaluate approaches to thermodynamics | Communicate findings about electrochemistry</t>
        </is>
      </c>
      <c r="L95" s="3" t="inlineStr">
        <is>
          <t>chemical kinetics | chemical equilibrium | acids and bases | buffers | thermodynamics | electrochemistry | nuclear chemistry | laboratory techniques</t>
        </is>
      </c>
    </row>
    <row r="96">
      <c r="A96" s="6" t="inlineStr">
        <is>
          <t>CAS CH 203</t>
        </is>
      </c>
      <c r="B96" s="6" t="inlineStr">
        <is>
          <t>CH</t>
        </is>
      </c>
      <c r="C96" s="6" t="inlineStr">
        <is>
          <t>Organic Chemistry 1</t>
        </is>
      </c>
      <c r="D96" s="6" t="inlineStr">
        <is>
          <t>Biology</t>
        </is>
      </c>
      <c r="E96" s="6" t="inlineStr">
        <is>
          <t>Supporting (Chemistry)</t>
        </is>
      </c>
      <c r="F96" s="6" t="n">
        <v>200</v>
      </c>
      <c r="G96" s="6" t="n">
        <v>4</v>
      </c>
      <c r="H96" s="6" t="inlineStr"/>
      <c r="I96" s="3" t="inlineStr">
        <is>
          <t>Code/title from provided BU workbook (public catalog); description synthetic</t>
        </is>
      </c>
      <c r="J96" s="3" t="inlineStr">
        <is>
          <t>Organic Chemistry 1 is an intermediate course in biology. It covers molecular structure, stereochemistry, nomenclature and reaction mechanisms, and builds toward substitution reactions and elimination reactions. Students work through weekly laboratory sessions, with later units on alkenes and alkynes and spectroscopy.</t>
        </is>
      </c>
      <c r="K96" s="3" t="inlineStr">
        <is>
          <t>Explain the core ideas of molecular structure | Apply stereochemistry to solve standard problems | Analyze problems involving nomenclature | Use reaction mechanisms in practical exercises | Evaluate approaches to substitution reactions | Communicate findings about elimination reactions</t>
        </is>
      </c>
      <c r="L96" s="3" t="inlineStr">
        <is>
          <t>molecular structure | stereochemistry | nomenclature | reaction mechanisms | substitution reactions | elimination reactions | alkenes and alkynes | spectroscopy</t>
        </is>
      </c>
    </row>
    <row r="97">
      <c r="A97" s="6" t="inlineStr">
        <is>
          <t>CAS CH 204</t>
        </is>
      </c>
      <c r="B97" s="6" t="inlineStr">
        <is>
          <t>CH</t>
        </is>
      </c>
      <c r="C97" s="6" t="inlineStr">
        <is>
          <t>Organic Chemistry 2</t>
        </is>
      </c>
      <c r="D97" s="6" t="inlineStr">
        <is>
          <t>Biology</t>
        </is>
      </c>
      <c r="E97" s="6" t="inlineStr">
        <is>
          <t>Supporting (Chemistry)</t>
        </is>
      </c>
      <c r="F97" s="6" t="n">
        <v>200</v>
      </c>
      <c r="G97" s="6" t="n">
        <v>4</v>
      </c>
      <c r="H97" s="6" t="inlineStr"/>
      <c r="I97" s="3" t="inlineStr">
        <is>
          <t>Code/title from provided BU workbook (public catalog); description synthetic</t>
        </is>
      </c>
      <c r="J97" s="3" t="inlineStr">
        <is>
          <t>Organic Chemistry 2 is an intermediate course in biology. It covers aromatic compounds, carbonyl chemistry, alcohols and ethers and amines, and builds toward reaction mechanisms and synthesis planning. Students work through weekly laboratory sessions, with later units on spectroscopy and biomolecules.</t>
        </is>
      </c>
      <c r="K97" s="3" t="inlineStr">
        <is>
          <t>Explain the core ideas of aromatic compounds | Apply carbonyl chemistry to solve standard problems | Analyze problems involving alcohols and ethers | Use amines in practical exercises | Evaluate approaches to reaction mechanisms | Communicate findings about synthesis planning</t>
        </is>
      </c>
      <c r="L97" s="3" t="inlineStr">
        <is>
          <t>aromatic compounds | carbonyl chemistry | alcohols and ethers | amines | reaction mechanisms | synthesis planning | spectroscopy | biomolecules</t>
        </is>
      </c>
    </row>
    <row r="98">
      <c r="A98" s="6" t="inlineStr">
        <is>
          <t>CAS BI 105</t>
        </is>
      </c>
      <c r="B98" s="6" t="inlineStr">
        <is>
          <t>BI</t>
        </is>
      </c>
      <c r="C98" s="6" t="inlineStr">
        <is>
          <t>Human Biology</t>
        </is>
      </c>
      <c r="D98" s="6" t="inlineStr">
        <is>
          <t>Biology</t>
        </is>
      </c>
      <c r="E98" s="6" t="inlineStr">
        <is>
          <t>Elective</t>
        </is>
      </c>
      <c r="F98" s="6" t="n">
        <v>100</v>
      </c>
      <c r="G98" s="6" t="n">
        <v>4</v>
      </c>
      <c r="H98" s="6" t="inlineStr"/>
      <c r="I98" s="3" t="inlineStr">
        <is>
          <t>Fully synthetic course (not a real BU offering)</t>
        </is>
      </c>
      <c r="J98" s="3" t="inlineStr">
        <is>
          <t>Human Biology is an introductory course in biology. It covers cell structure, human organ systems, nutrition and genetics and heredity, and builds toward infectious disease and reproduction. Students work through weekly laboratory sessions, with later units on human evolution and health and society.</t>
        </is>
      </c>
      <c r="K98" s="3" t="inlineStr">
        <is>
          <t>Explain the core ideas of cell structure | Apply human organ systems to solve standard problems | Analyze problems involving nutrition | Use genetics and heredity in practical exercises | Evaluate approaches to infectious disease | Communicate findings about reproduction</t>
        </is>
      </c>
      <c r="L98" s="3" t="inlineStr">
        <is>
          <t>cell structure | human organ systems | nutrition | genetics and heredity | infectious disease | reproduction | human evolution | health and society</t>
        </is>
      </c>
    </row>
    <row r="99">
      <c r="A99" s="6" t="inlineStr">
        <is>
          <t>CAS BI 110</t>
        </is>
      </c>
      <c r="B99" s="6" t="inlineStr">
        <is>
          <t>BI</t>
        </is>
      </c>
      <c r="C99" s="6" t="inlineStr">
        <is>
          <t>Environmental Science</t>
        </is>
      </c>
      <c r="D99" s="6" t="inlineStr">
        <is>
          <t>Biology</t>
        </is>
      </c>
      <c r="E99" s="6" t="inlineStr">
        <is>
          <t>Elective</t>
        </is>
      </c>
      <c r="F99" s="6" t="n">
        <v>100</v>
      </c>
      <c r="G99" s="6" t="n">
        <v>4</v>
      </c>
      <c r="H99" s="3" t="inlineStr">
        <is>
          <t>Biology: at least five BI courses beyond BI 107/108 must be taken at BU</t>
        </is>
      </c>
      <c r="I99" s="3" t="inlineStr">
        <is>
          <t>Fully synthetic course (not a real BU offering)</t>
        </is>
      </c>
      <c r="J99" s="3" t="inlineStr">
        <is>
          <t>Environmental Science is an introductory course in biology. It covers ecosystems, biodiversity, climate change and pollution, and builds toward energy resources and water resources. Students work through weekly laboratory sessions, with later units on sustainability and environmental policy.</t>
        </is>
      </c>
      <c r="K99" s="3" t="inlineStr">
        <is>
          <t>Explain the core ideas of ecosystems | Apply biodiversity to solve standard problems | Analyze problems involving climate change | Use pollution in practical exercises | Evaluate approaches to energy resources | Communicate findings about water resources</t>
        </is>
      </c>
      <c r="L99" s="3" t="inlineStr">
        <is>
          <t>ecosystems | biodiversity | climate change | pollution | energy resources | water resources | sustainability | environmental policy</t>
        </is>
      </c>
    </row>
    <row r="100">
      <c r="A100" s="6" t="inlineStr">
        <is>
          <t>CAS BI 114</t>
        </is>
      </c>
      <c r="B100" s="6" t="inlineStr">
        <is>
          <t>BI</t>
        </is>
      </c>
      <c r="C100" s="6" t="inlineStr">
        <is>
          <t>Human Anatomy and Physiology 1</t>
        </is>
      </c>
      <c r="D100" s="6" t="inlineStr">
        <is>
          <t>Biology</t>
        </is>
      </c>
      <c r="E100" s="6" t="inlineStr">
        <is>
          <t>Elective</t>
        </is>
      </c>
      <c r="F100" s="6" t="n">
        <v>100</v>
      </c>
      <c r="G100" s="6" t="n">
        <v>4</v>
      </c>
      <c r="H100" s="3" t="inlineStr">
        <is>
          <t>Biology: at least five BI courses beyond BI 107/108 must be taken at BU</t>
        </is>
      </c>
      <c r="I100" s="3" t="inlineStr">
        <is>
          <t>Fully synthetic course (not a real BU offering)</t>
        </is>
      </c>
      <c r="J100" s="3" t="inlineStr">
        <is>
          <t>Human Anatomy and Physiology 1 is an introductory course in biology. It covers tissues, skeletal system, muscular system and nervous system, and builds toward sensory systems and integumentary system. Students work through weekly laboratory sessions, with later units on homeostasis and laboratory dissection.</t>
        </is>
      </c>
      <c r="K100" s="3" t="inlineStr">
        <is>
          <t>Explain the core ideas of tissues | Apply skeletal system to solve standard problems | Analyze problems involving muscular system | Use nervous system in practical exercises | Evaluate approaches to sensory systems | Communicate findings about integumentary system</t>
        </is>
      </c>
      <c r="L100" s="3" t="inlineStr">
        <is>
          <t>tissues | skeletal system | muscular system | nervous system | sensory systems | integumentary system | homeostasis | laboratory dissection</t>
        </is>
      </c>
    </row>
    <row r="101">
      <c r="A101" s="6" t="inlineStr">
        <is>
          <t>CAS BI 116</t>
        </is>
      </c>
      <c r="B101" s="6" t="inlineStr">
        <is>
          <t>BI</t>
        </is>
      </c>
      <c r="C101" s="6" t="inlineStr">
        <is>
          <t>Human Anatomy and Physiology 2</t>
        </is>
      </c>
      <c r="D101" s="6" t="inlineStr">
        <is>
          <t>Biology</t>
        </is>
      </c>
      <c r="E101" s="6" t="inlineStr">
        <is>
          <t>Elective</t>
        </is>
      </c>
      <c r="F101" s="6" t="n">
        <v>100</v>
      </c>
      <c r="G101" s="6" t="n">
        <v>4</v>
      </c>
      <c r="H101" s="3" t="inlineStr">
        <is>
          <t>Biology: at least five BI courses beyond BI 107/108 must be taken at BU</t>
        </is>
      </c>
      <c r="I101" s="3" t="inlineStr">
        <is>
          <t>Fully synthetic course (not a real BU offering)</t>
        </is>
      </c>
      <c r="J101" s="3" t="inlineStr">
        <is>
          <t>Human Anatomy and Physiology 2 is an introductory course in biology. It covers cardiovascular system, respiratory system, digestive system and urinary system, and builds toward endocrine system and reproductive system. Students work through weekly laboratory sessions, with later units on immune system and homeostasis.</t>
        </is>
      </c>
      <c r="K101" s="3" t="inlineStr">
        <is>
          <t>Explain the core ideas of cardiovascular system | Apply respiratory system to solve standard problems | Analyze problems involving digestive system | Use urinary system in practical exercises | Evaluate approaches to endocrine system | Communicate findings about reproductive system</t>
        </is>
      </c>
      <c r="L101" s="3" t="inlineStr">
        <is>
          <t>cardiovascular system | respiratory system | digestive system | urinary system | endocrine system | reproductive system | immune system | homeostasis</t>
        </is>
      </c>
    </row>
    <row r="102">
      <c r="A102" s="6" t="inlineStr">
        <is>
          <t>CAS BI 210</t>
        </is>
      </c>
      <c r="B102" s="6" t="inlineStr">
        <is>
          <t>BI</t>
        </is>
      </c>
      <c r="C102" s="6" t="inlineStr">
        <is>
          <t>Microbiology</t>
        </is>
      </c>
      <c r="D102" s="6" t="inlineStr">
        <is>
          <t>Biology</t>
        </is>
      </c>
      <c r="E102" s="6" t="inlineStr">
        <is>
          <t>Elective</t>
        </is>
      </c>
      <c r="F102" s="6" t="n">
        <v>200</v>
      </c>
      <c r="G102" s="6" t="n">
        <v>4</v>
      </c>
      <c r="H102" s="3" t="inlineStr">
        <is>
          <t>Biology: at least five BI courses beyond BI 107/108 must be taken at BU</t>
        </is>
      </c>
      <c r="I102" s="3" t="inlineStr">
        <is>
          <t>Fully synthetic course (not a real BU offering)</t>
        </is>
      </c>
      <c r="J102" s="3" t="inlineStr">
        <is>
          <t>Microbiology is an intermediate course in biology. It covers microbial cell structure, microbial growth, microbial metabolism and microbial genetics, and builds toward viruses and host-pathogen interactions. Students work through weekly laboratory sessions, with later units on immunology basics and aseptic technique.</t>
        </is>
      </c>
      <c r="K102" s="3" t="inlineStr">
        <is>
          <t>Explain the core ideas of microbial cell structure | Apply microbial growth to solve standard problems | Analyze problems involving microbial metabolism | Use microbial genetics in practical exercises | Evaluate approaches to viruses | Communicate findings about host-pathogen interactions</t>
        </is>
      </c>
      <c r="L102" s="3" t="inlineStr">
        <is>
          <t>microbial cell structure | microbial growth | microbial metabolism | microbial genetics | viruses | host-pathogen interactions | immunology basics | aseptic technique</t>
        </is>
      </c>
    </row>
    <row r="103">
      <c r="A103" s="6" t="inlineStr">
        <is>
          <t>CAS BI 225</t>
        </is>
      </c>
      <c r="B103" s="6" t="inlineStr">
        <is>
          <t>BI</t>
        </is>
      </c>
      <c r="C103" s="6" t="inlineStr">
        <is>
          <t>Ecology</t>
        </is>
      </c>
      <c r="D103" s="6" t="inlineStr">
        <is>
          <t>Biology</t>
        </is>
      </c>
      <c r="E103" s="6" t="inlineStr">
        <is>
          <t>Elective</t>
        </is>
      </c>
      <c r="F103" s="6" t="n">
        <v>200</v>
      </c>
      <c r="G103" s="6" t="n">
        <v>4</v>
      </c>
      <c r="H103" s="3" t="inlineStr">
        <is>
          <t>Biology: at least five BI courses beyond BI 107/108 must be taken at BU</t>
        </is>
      </c>
      <c r="I103" s="3" t="inlineStr">
        <is>
          <t>Fully synthetic course (not a real BU offering)</t>
        </is>
      </c>
      <c r="J103" s="3" t="inlineStr">
        <is>
          <t>Ecology is an intermediate course in biology. It covers population ecology, community ecology, ecosystems and biodiversity, and builds toward species interactions and nutrient cycles. Students work through weekly laboratory sessions, with later units on field methods and conservation.</t>
        </is>
      </c>
      <c r="K103" s="3" t="inlineStr">
        <is>
          <t>Explain the core ideas of population ecology | Apply community ecology to solve standard problems | Analyze problems involving ecosystems | Use biodiversity in practical exercises | Evaluate approaches to species interactions | Communicate findings about nutrient cycles</t>
        </is>
      </c>
      <c r="L103" s="3" t="inlineStr">
        <is>
          <t>population ecology | community ecology | ecosystems | biodiversity | species interactions | nutrient cycles | field methods | conservation</t>
        </is>
      </c>
    </row>
    <row r="104">
      <c r="A104" s="6" t="inlineStr">
        <is>
          <t>CAS BI 230</t>
        </is>
      </c>
      <c r="B104" s="6" t="inlineStr">
        <is>
          <t>BI</t>
        </is>
      </c>
      <c r="C104" s="6" t="inlineStr">
        <is>
          <t>Evolution</t>
        </is>
      </c>
      <c r="D104" s="6" t="inlineStr">
        <is>
          <t>Biology</t>
        </is>
      </c>
      <c r="E104" s="6" t="inlineStr">
        <is>
          <t>Elective</t>
        </is>
      </c>
      <c r="F104" s="6" t="n">
        <v>200</v>
      </c>
      <c r="G104" s="6" t="n">
        <v>4</v>
      </c>
      <c r="H104" s="3" t="inlineStr">
        <is>
          <t>Biology: at least five BI courses beyond BI 107/108 must be taken at BU</t>
        </is>
      </c>
      <c r="I104" s="3" t="inlineStr">
        <is>
          <t>Fully synthetic course (not a real BU offering)</t>
        </is>
      </c>
      <c r="J104" s="3" t="inlineStr">
        <is>
          <t>Evolution is an intermediate course in biology. It covers natural selection, population genetics, speciation and phylogenetics, and builds toward adaptation and molecular evolution. Students work through weekly laboratory sessions, with later units on human evolution and evolutionary developmental biology.</t>
        </is>
      </c>
      <c r="K104" s="3" t="inlineStr">
        <is>
          <t>Explain the core ideas of natural selection | Apply population genetics to solve standard problems | Analyze problems involving speciation | Use phylogenetics in practical exercises | Evaluate approaches to adaptation | Communicate findings about molecular evolution</t>
        </is>
      </c>
      <c r="L104" s="3" t="inlineStr">
        <is>
          <t>natural selection | population genetics | speciation | phylogenetics | adaptation | molecular evolution | human evolution | evolutionary developmental biology</t>
        </is>
      </c>
    </row>
    <row r="105">
      <c r="A105" s="6" t="inlineStr">
        <is>
          <t>CAS BI 260</t>
        </is>
      </c>
      <c r="B105" s="6" t="inlineStr">
        <is>
          <t>BI</t>
        </is>
      </c>
      <c r="C105" s="6" t="inlineStr">
        <is>
          <t>Marine Biology</t>
        </is>
      </c>
      <c r="D105" s="6" t="inlineStr">
        <is>
          <t>Biology</t>
        </is>
      </c>
      <c r="E105" s="6" t="inlineStr">
        <is>
          <t>Elective</t>
        </is>
      </c>
      <c r="F105" s="6" t="n">
        <v>200</v>
      </c>
      <c r="G105" s="6" t="n">
        <v>4</v>
      </c>
      <c r="H105" s="3" t="inlineStr">
        <is>
          <t>Biology: at least five BI courses beyond BI 107/108 must be taken at BU</t>
        </is>
      </c>
      <c r="I105" s="3" t="inlineStr">
        <is>
          <t>Fully synthetic course (not a real BU offering)</t>
        </is>
      </c>
      <c r="J105" s="3" t="inlineStr">
        <is>
          <t>Marine Biology is an intermediate course in biology. It covers ocean environments, marine biodiversity, plankton and coral reefs, and builds toward marine ecosystems and marine conservation. Students work through weekly laboratory sessions, with later units on field methods and fisheries.</t>
        </is>
      </c>
      <c r="K105" s="3" t="inlineStr">
        <is>
          <t>Explain the core ideas of ocean environments | Apply marine biodiversity to solve standard problems | Analyze problems involving plankton | Use coral reefs in practical exercises | Evaluate approaches to marine ecosystems | Communicate findings about marine conservation</t>
        </is>
      </c>
      <c r="L105" s="3" t="inlineStr">
        <is>
          <t>ocean environments | marine biodiversity | plankton | coral reefs | marine ecosystems | marine conservation | field methods | fisheries</t>
        </is>
      </c>
    </row>
    <row r="106">
      <c r="A106" s="6" t="inlineStr">
        <is>
          <t>CAS BI 302</t>
        </is>
      </c>
      <c r="B106" s="6" t="inlineStr">
        <is>
          <t>BI</t>
        </is>
      </c>
      <c r="C106" s="6" t="inlineStr">
        <is>
          <t>Vertebrate Zoology</t>
        </is>
      </c>
      <c r="D106" s="6" t="inlineStr">
        <is>
          <t>Biology</t>
        </is>
      </c>
      <c r="E106" s="6" t="inlineStr">
        <is>
          <t>Elective</t>
        </is>
      </c>
      <c r="F106" s="6" t="n">
        <v>300</v>
      </c>
      <c r="G106" s="6" t="n">
        <v>4</v>
      </c>
      <c r="H106" s="3" t="inlineStr">
        <is>
          <t>Biology: at least five BI courses beyond BI 107/108 must be taken at BU</t>
        </is>
      </c>
      <c r="I106" s="3" t="inlineStr">
        <is>
          <t>Fully synthetic course (not a real BU offering)</t>
        </is>
      </c>
      <c r="J106" s="3" t="inlineStr">
        <is>
          <t>Vertebrate Zoology is an advanced course in biology. It covers vertebrate evolution, comparative anatomy, fishes and amphibians, and builds toward reptiles and birds. Students work through weekly laboratory sessions, with later units on mammals and phylogenetics.</t>
        </is>
      </c>
      <c r="K106" s="3" t="inlineStr">
        <is>
          <t>Explain the core ideas of vertebrate evolution | Apply comparative anatomy to solve standard problems | Analyze problems involving fishes | Use amphibians in practical exercises | Evaluate approaches to reptiles | Communicate findings about birds</t>
        </is>
      </c>
      <c r="L106" s="3" t="inlineStr">
        <is>
          <t>vertebrate evolution | comparative anatomy | fishes | amphibians | reptiles | birds | mammals | phylogenetics</t>
        </is>
      </c>
    </row>
    <row r="107">
      <c r="A107" s="6" t="inlineStr">
        <is>
          <t>CAS BI 303</t>
        </is>
      </c>
      <c r="B107" s="6" t="inlineStr">
        <is>
          <t>BI</t>
        </is>
      </c>
      <c r="C107" s="6" t="inlineStr">
        <is>
          <t>Plant Biology</t>
        </is>
      </c>
      <c r="D107" s="6" t="inlineStr">
        <is>
          <t>Biology</t>
        </is>
      </c>
      <c r="E107" s="6" t="inlineStr">
        <is>
          <t>Elective</t>
        </is>
      </c>
      <c r="F107" s="6" t="n">
        <v>300</v>
      </c>
      <c r="G107" s="6" t="n">
        <v>4</v>
      </c>
      <c r="H107" s="3" t="inlineStr">
        <is>
          <t>Biology: at least five BI courses beyond BI 107/108 must be taken at BU</t>
        </is>
      </c>
      <c r="I107" s="3" t="inlineStr">
        <is>
          <t>Fully synthetic course (not a real BU offering)</t>
        </is>
      </c>
      <c r="J107" s="3" t="inlineStr">
        <is>
          <t>Plant Biology is an advanced course in biology. It covers plant structure, photosynthesis, plant hormones and plant reproduction, and builds toward plant diversity and plant ecology. Students work through weekly laboratory sessions, with later units on plant genetics and laboratory techniques.</t>
        </is>
      </c>
      <c r="K107" s="3" t="inlineStr">
        <is>
          <t>Explain the core ideas of plant structure | Apply photosynthesis to solve standard problems | Analyze problems involving plant hormones | Use plant reproduction in practical exercises | Evaluate approaches to plant diversity | Communicate findings about plant ecology</t>
        </is>
      </c>
      <c r="L107" s="3" t="inlineStr">
        <is>
          <t>plant structure | photosynthesis | plant hormones | plant reproduction | plant diversity | plant ecology | plant genetics | laboratory techniques</t>
        </is>
      </c>
    </row>
    <row r="108">
      <c r="A108" s="6" t="inlineStr">
        <is>
          <t>CAS BI 315</t>
        </is>
      </c>
      <c r="B108" s="6" t="inlineStr">
        <is>
          <t>BI</t>
        </is>
      </c>
      <c r="C108" s="6" t="inlineStr">
        <is>
          <t>Neurobiology</t>
        </is>
      </c>
      <c r="D108" s="6" t="inlineStr">
        <is>
          <t>Biology</t>
        </is>
      </c>
      <c r="E108" s="6" t="inlineStr">
        <is>
          <t>Elective</t>
        </is>
      </c>
      <c r="F108" s="6" t="n">
        <v>300</v>
      </c>
      <c r="G108" s="6" t="n">
        <v>4</v>
      </c>
      <c r="H108" s="3" t="inlineStr">
        <is>
          <t>Biology: at least five BI courses beyond BI 107/108 must be taken at BU</t>
        </is>
      </c>
      <c r="I108" s="3" t="inlineStr">
        <is>
          <t>Fully synthetic course (not a real BU offering)</t>
        </is>
      </c>
      <c r="J108" s="3" t="inlineStr">
        <is>
          <t>Neurobiology is an advanced course in biology. It covers neurons and synapses, action potentials, neurotransmitters and sensory systems, and builds toward motor control and neural development. Students work through weekly laboratory sessions, with later units on learning and memory and neuroplasticity.</t>
        </is>
      </c>
      <c r="K108" s="3" t="inlineStr">
        <is>
          <t>Explain the core ideas of neurons and synapses | Apply action potentials to solve standard problems | Analyze problems involving neurotransmitters | Use sensory systems in practical exercises | Evaluate approaches to motor control | Communicate findings about neural development</t>
        </is>
      </c>
      <c r="L108" s="3" t="inlineStr">
        <is>
          <t>neurons and synapses | action potentials | neurotransmitters | sensory systems | motor control | neural development | learning and memory | neuroplasticity</t>
        </is>
      </c>
    </row>
    <row r="109">
      <c r="A109" s="6" t="inlineStr">
        <is>
          <t>CAS BI 325</t>
        </is>
      </c>
      <c r="B109" s="6" t="inlineStr">
        <is>
          <t>BI</t>
        </is>
      </c>
      <c r="C109" s="6" t="inlineStr">
        <is>
          <t>Immunology</t>
        </is>
      </c>
      <c r="D109" s="6" t="inlineStr">
        <is>
          <t>Biology</t>
        </is>
      </c>
      <c r="E109" s="6" t="inlineStr">
        <is>
          <t>Elective</t>
        </is>
      </c>
      <c r="F109" s="6" t="n">
        <v>300</v>
      </c>
      <c r="G109" s="6" t="n">
        <v>4</v>
      </c>
      <c r="H109" s="3" t="inlineStr">
        <is>
          <t>Biology: at least five BI courses beyond BI 107/108 must be taken at BU</t>
        </is>
      </c>
      <c r="I109" s="3" t="inlineStr">
        <is>
          <t>Fully synthetic course (not a real BU offering)</t>
        </is>
      </c>
      <c r="J109" s="3" t="inlineStr">
        <is>
          <t>Immunology is an advanced course in biology. It covers innate immunity, adaptive immunity, antibodies and T cells, and builds toward antigen presentation and immunological memory. Students work through weekly laboratory sessions, with later units on vaccines and immune disorders.</t>
        </is>
      </c>
      <c r="K109" s="3" t="inlineStr">
        <is>
          <t>Explain the core ideas of innate immunity | Apply adaptive immunity to solve standard problems | Analyze problems involving antibodies | Use T cells in practical exercises | Evaluate approaches to antigen presentation | Communicate findings about immunological memory</t>
        </is>
      </c>
      <c r="L109" s="3" t="inlineStr">
        <is>
          <t>innate immunity | adaptive immunity | antibodies | T cells | antigen presentation | immunological memory | vaccines | immune disorders</t>
        </is>
      </c>
    </row>
    <row r="110">
      <c r="A110" s="6" t="inlineStr">
        <is>
          <t>CAS BI 330</t>
        </is>
      </c>
      <c r="B110" s="6" t="inlineStr">
        <is>
          <t>BI</t>
        </is>
      </c>
      <c r="C110" s="6" t="inlineStr">
        <is>
          <t>Developmental Biology</t>
        </is>
      </c>
      <c r="D110" s="6" t="inlineStr">
        <is>
          <t>Biology</t>
        </is>
      </c>
      <c r="E110" s="6" t="inlineStr">
        <is>
          <t>Elective</t>
        </is>
      </c>
      <c r="F110" s="6" t="n">
        <v>300</v>
      </c>
      <c r="G110" s="6" t="n">
        <v>4</v>
      </c>
      <c r="H110" s="3" t="inlineStr">
        <is>
          <t>Biology: at least five BI courses beyond BI 107/108 must be taken at BU</t>
        </is>
      </c>
      <c r="I110" s="3" t="inlineStr">
        <is>
          <t>Fully synthetic course (not a real BU offering)</t>
        </is>
      </c>
      <c r="J110" s="3" t="inlineStr">
        <is>
          <t>Developmental Biology is an advanced course in biology. It covers fertilization, embryonic development, cell differentiation and pattern formation, and builds toward organogenesis and stem cells. Students work through weekly laboratory sessions, with later units on gene regulation in development and evolutionary developmental biology.</t>
        </is>
      </c>
      <c r="K110" s="3" t="inlineStr">
        <is>
          <t>Explain the core ideas of fertilization | Apply embryonic development to solve standard problems | Analyze problems involving cell differentiation | Use pattern formation in practical exercises | Evaluate approaches to organogenesis | Communicate findings about stem cells</t>
        </is>
      </c>
      <c r="L110" s="3" t="inlineStr">
        <is>
          <t>fertilization | embryonic development | cell differentiation | pattern formation | organogenesis | stem cells | gene regulation in development | evolutionary developmental biology</t>
        </is>
      </c>
    </row>
    <row r="111">
      <c r="A111" s="6" t="inlineStr">
        <is>
          <t>CAS BI 335</t>
        </is>
      </c>
      <c r="B111" s="6" t="inlineStr">
        <is>
          <t>BI</t>
        </is>
      </c>
      <c r="C111" s="6" t="inlineStr">
        <is>
          <t>Bioinformatics</t>
        </is>
      </c>
      <c r="D111" s="6" t="inlineStr">
        <is>
          <t>Biology</t>
        </is>
      </c>
      <c r="E111" s="6" t="inlineStr">
        <is>
          <t>Elective</t>
        </is>
      </c>
      <c r="F111" s="6" t="n">
        <v>300</v>
      </c>
      <c r="G111" s="6" t="n">
        <v>4</v>
      </c>
      <c r="H111" s="3" t="inlineStr">
        <is>
          <t>Biology: at least five BI courses beyond BI 107/108 must be taken at BU</t>
        </is>
      </c>
      <c r="I111" s="3" t="inlineStr">
        <is>
          <t>Fully synthetic course (not a real BU offering)</t>
        </is>
      </c>
      <c r="J111" s="3" t="inlineStr">
        <is>
          <t>Bioinformatics is an advanced course in biology. It covers sequence alignment, genomic databases, phylogenetics and gene prediction, and builds toward protein structure and genomics. Students work through weekly laboratory sessions, with later units on programming for biology and data analysis.</t>
        </is>
      </c>
      <c r="K111" s="3" t="inlineStr">
        <is>
          <t>Explain the core ideas of sequence alignment | Apply genomic databases to solve standard problems | Analyze problems involving phylogenetics | Use gene prediction in practical exercises | Evaluate approaches to protein structure | Communicate findings about genomics</t>
        </is>
      </c>
      <c r="L111" s="3" t="inlineStr">
        <is>
          <t>sequence alignment | genomic databases | phylogenetics | gene prediction | protein structure | genomics | programming for biology | data analysis</t>
        </is>
      </c>
    </row>
    <row r="112">
      <c r="A112" s="6" t="inlineStr">
        <is>
          <t>CAS BI 345</t>
        </is>
      </c>
      <c r="B112" s="6" t="inlineStr">
        <is>
          <t>BI</t>
        </is>
      </c>
      <c r="C112" s="6" t="inlineStr">
        <is>
          <t>Conservation Biology</t>
        </is>
      </c>
      <c r="D112" s="6" t="inlineStr">
        <is>
          <t>Biology</t>
        </is>
      </c>
      <c r="E112" s="6" t="inlineStr">
        <is>
          <t>Elective</t>
        </is>
      </c>
      <c r="F112" s="6" t="n">
        <v>300</v>
      </c>
      <c r="G112" s="6" t="n">
        <v>4</v>
      </c>
      <c r="H112" s="3" t="inlineStr">
        <is>
          <t>Biology: at least five BI courses beyond BI 107/108 must be taken at BU</t>
        </is>
      </c>
      <c r="I112" s="3" t="inlineStr">
        <is>
          <t>Fully synthetic course (not a real BU offering)</t>
        </is>
      </c>
      <c r="J112" s="3" t="inlineStr">
        <is>
          <t>Conservation Biology is an advanced course in biology. It covers biodiversity, extinction, population viability and habitat fragmentation, and builds toward conservation genetics and protected areas. Students work through weekly laboratory sessions, with later units on restoration ecology and conservation policy.</t>
        </is>
      </c>
      <c r="K112" s="3" t="inlineStr">
        <is>
          <t>Explain the core ideas of biodiversity | Apply extinction to solve standard problems | Analyze problems involving population viability | Use habitat fragmentation in practical exercises | Evaluate approaches to conservation genetics | Communicate findings about protected areas</t>
        </is>
      </c>
      <c r="L112" s="3" t="inlineStr">
        <is>
          <t>biodiversity | extinction | population viability | habitat fragmentation | conservation genetics | protected areas | restoration ecology | conservation policy</t>
        </is>
      </c>
    </row>
    <row r="113">
      <c r="A113" s="6" t="inlineStr">
        <is>
          <t>CAS BI 350</t>
        </is>
      </c>
      <c r="B113" s="6" t="inlineStr">
        <is>
          <t>BI</t>
        </is>
      </c>
      <c r="C113" s="6" t="inlineStr">
        <is>
          <t>Molecular Biology</t>
        </is>
      </c>
      <c r="D113" s="6" t="inlineStr">
        <is>
          <t>Biology</t>
        </is>
      </c>
      <c r="E113" s="6" t="inlineStr">
        <is>
          <t>Elective</t>
        </is>
      </c>
      <c r="F113" s="6" t="n">
        <v>300</v>
      </c>
      <c r="G113" s="6" t="n">
        <v>4</v>
      </c>
      <c r="H113" s="3" t="inlineStr">
        <is>
          <t>Biology: at least five BI courses beyond BI 107/108 must be taken at BU</t>
        </is>
      </c>
      <c r="I113" s="3" t="inlineStr">
        <is>
          <t>Fully synthetic course (not a real BU offering)</t>
        </is>
      </c>
      <c r="J113" s="3" t="inlineStr">
        <is>
          <t>Molecular Biology is an advanced course in biology. It covers DNA replication, transcription, translation and gene regulation, and builds toward recombinant DNA and PCR. Students work through weekly laboratory sessions, with later units on genomics and laboratory techniques.</t>
        </is>
      </c>
      <c r="K113" s="3" t="inlineStr">
        <is>
          <t>Explain the core ideas of DNA replication | Apply transcription to solve standard problems | Analyze problems involving translation | Use gene regulation in practical exercises | Evaluate approaches to recombinant DNA | Communicate findings about PCR</t>
        </is>
      </c>
      <c r="L113" s="3" t="inlineStr">
        <is>
          <t>DNA replication | transcription | translation | gene regulation | recombinant DNA | PCR | genomics | laboratory techniques</t>
        </is>
      </c>
    </row>
    <row r="114">
      <c r="A114" s="6" t="inlineStr">
        <is>
          <t>CAS BI 365</t>
        </is>
      </c>
      <c r="B114" s="6" t="inlineStr">
        <is>
          <t>BI</t>
        </is>
      </c>
      <c r="C114" s="6" t="inlineStr">
        <is>
          <t>Animal Behavior</t>
        </is>
      </c>
      <c r="D114" s="6" t="inlineStr">
        <is>
          <t>Biology</t>
        </is>
      </c>
      <c r="E114" s="6" t="inlineStr">
        <is>
          <t>Elective</t>
        </is>
      </c>
      <c r="F114" s="6" t="n">
        <v>300</v>
      </c>
      <c r="G114" s="6" t="n">
        <v>4</v>
      </c>
      <c r="H114" s="3" t="inlineStr">
        <is>
          <t>Biology: at least five BI courses beyond BI 107/108 must be taken at BU</t>
        </is>
      </c>
      <c r="I114" s="3" t="inlineStr">
        <is>
          <t>Fully synthetic course (not a real BU offering)</t>
        </is>
      </c>
      <c r="J114" s="3" t="inlineStr">
        <is>
          <t>Animal Behavior is an advanced course in biology. It covers behavioral ecology, communication, mating systems and foraging, and builds toward social behavior and learning. Students work through weekly laboratory sessions, with later units on evolution of behavior and field methods.</t>
        </is>
      </c>
      <c r="K114" s="3" t="inlineStr">
        <is>
          <t>Explain the core ideas of behavioral ecology | Apply communication to solve standard problems | Analyze problems involving mating systems | Use foraging in practical exercises | Evaluate approaches to social behavior | Communicate findings about learning</t>
        </is>
      </c>
      <c r="L114" s="3" t="inlineStr">
        <is>
          <t>behavioral ecology | communication | mating systems | foraging | social behavior | learning | evolution of behavior | field methods</t>
        </is>
      </c>
    </row>
    <row r="115">
      <c r="A115" s="6" t="inlineStr">
        <is>
          <t>CAS BI 380</t>
        </is>
      </c>
      <c r="B115" s="6" t="inlineStr">
        <is>
          <t>BI</t>
        </is>
      </c>
      <c r="C115" s="6" t="inlineStr">
        <is>
          <t>Virology</t>
        </is>
      </c>
      <c r="D115" s="6" t="inlineStr">
        <is>
          <t>Biology</t>
        </is>
      </c>
      <c r="E115" s="6" t="inlineStr">
        <is>
          <t>Elective</t>
        </is>
      </c>
      <c r="F115" s="6" t="n">
        <v>300</v>
      </c>
      <c r="G115" s="6" t="n">
        <v>4</v>
      </c>
      <c r="H115" s="3" t="inlineStr">
        <is>
          <t>Biology: at least five BI courses beyond BI 107/108 must be taken at BU</t>
        </is>
      </c>
      <c r="I115" s="3" t="inlineStr">
        <is>
          <t>Fully synthetic course (not a real BU offering)</t>
        </is>
      </c>
      <c r="J115" s="3" t="inlineStr">
        <is>
          <t>Virology is an advanced course in biology. It covers virus structure, viral replication, viral genetics and host-pathogen interactions, and builds toward viral evolution and vaccines. Students work through weekly laboratory sessions, with later units on antiviral drugs and emerging viruses.</t>
        </is>
      </c>
      <c r="K115" s="3" t="inlineStr">
        <is>
          <t>Explain the core ideas of virus structure | Apply viral replication to solve standard problems | Analyze problems involving viral genetics | Use host-pathogen interactions in practical exercises | Evaluate approaches to viral evolution | Communicate findings about vaccines</t>
        </is>
      </c>
      <c r="L115" s="3" t="inlineStr">
        <is>
          <t>virus structure | viral replication | viral genetics | host-pathogen interactions | viral evolution | vaccines | antiviral drugs | emerging viruses</t>
        </is>
      </c>
    </row>
    <row r="116">
      <c r="A116" s="6" t="inlineStr">
        <is>
          <t>CAS CH 110</t>
        </is>
      </c>
      <c r="B116" s="6" t="inlineStr">
        <is>
          <t>CH</t>
        </is>
      </c>
      <c r="C116" s="6" t="inlineStr">
        <is>
          <t>Chemistry for Health Sciences</t>
        </is>
      </c>
      <c r="D116" s="6" t="inlineStr">
        <is>
          <t>Biology</t>
        </is>
      </c>
      <c r="E116" s="6" t="inlineStr">
        <is>
          <t>Elective</t>
        </is>
      </c>
      <c r="F116" s="6" t="n">
        <v>100</v>
      </c>
      <c r="G116" s="6" t="n">
        <v>4</v>
      </c>
      <c r="H116" s="6" t="inlineStr"/>
      <c r="I116" s="3" t="inlineStr">
        <is>
          <t>Fully synthetic course (not a real BU offering)</t>
        </is>
      </c>
      <c r="J116" s="3" t="inlineStr">
        <is>
          <t>Chemistry for Health Sciences is an introductory course in biology. It covers atomic structure, chemical bonding, solutions and acids and bases, and builds toward organic functional groups and biomolecules. Students work through weekly laboratory sessions, with later units on metabolism and laboratory safety.</t>
        </is>
      </c>
      <c r="K116" s="3" t="inlineStr">
        <is>
          <t>Explain the core ideas of atomic structure | Apply chemical bonding to solve standard problems | Analyze problems involving solutions | Use acids and bases in practical exercises | Evaluate approaches to organic functional groups | Communicate findings about biomolecules</t>
        </is>
      </c>
      <c r="L116" s="3" t="inlineStr">
        <is>
          <t>atomic structure | chemical bonding | solutions | acids and bases | organic functional groups | biomolecules | metabolism | laboratory safety</t>
        </is>
      </c>
    </row>
    <row r="117">
      <c r="A117" s="6" t="inlineStr">
        <is>
          <t>CAS CH 211</t>
        </is>
      </c>
      <c r="B117" s="6" t="inlineStr">
        <is>
          <t>CH</t>
        </is>
      </c>
      <c r="C117" s="6" t="inlineStr">
        <is>
          <t>Analytical Chemistry</t>
        </is>
      </c>
      <c r="D117" s="6" t="inlineStr">
        <is>
          <t>Biology</t>
        </is>
      </c>
      <c r="E117" s="6" t="inlineStr">
        <is>
          <t>Elective</t>
        </is>
      </c>
      <c r="F117" s="6" t="n">
        <v>200</v>
      </c>
      <c r="G117" s="6" t="n">
        <v>4</v>
      </c>
      <c r="H117" s="6" t="inlineStr"/>
      <c r="I117" s="3" t="inlineStr">
        <is>
          <t>Fully synthetic course (not a real BU offering)</t>
        </is>
      </c>
      <c r="J117" s="3" t="inlineStr">
        <is>
          <t>Analytical Chemistry is an intermediate course in biology. It covers statistics for chemistry, titrations, chemical equilibrium and spectroscopy, and builds toward chromatography and electrochemistry. Students work through weekly laboratory sessions, with later units on quality control and laboratory techniques.</t>
        </is>
      </c>
      <c r="K117" s="3" t="inlineStr">
        <is>
          <t>Explain the core ideas of statistics for chemistry | Apply titrations to solve standard problems | Analyze problems involving chemical equilibrium | Use spectroscopy in practical exercises | Evaluate approaches to chromatography | Communicate findings about electrochemistry</t>
        </is>
      </c>
      <c r="L117" s="3" t="inlineStr">
        <is>
          <t>statistics for chemistry | titrations | chemical equilibrium | spectroscopy | chromatography | electrochemistry | quality control | laboratory techniques</t>
        </is>
      </c>
    </row>
    <row r="118">
      <c r="A118" s="6" t="inlineStr">
        <is>
          <t>CAS CH 373</t>
        </is>
      </c>
      <c r="B118" s="6" t="inlineStr">
        <is>
          <t>CH</t>
        </is>
      </c>
      <c r="C118" s="6" t="inlineStr">
        <is>
          <t>Biochemistry 1</t>
        </is>
      </c>
      <c r="D118" s="6" t="inlineStr">
        <is>
          <t>Biology</t>
        </is>
      </c>
      <c r="E118" s="6" t="inlineStr">
        <is>
          <t>Elective</t>
        </is>
      </c>
      <c r="F118" s="6" t="n">
        <v>300</v>
      </c>
      <c r="G118" s="6" t="n">
        <v>4</v>
      </c>
      <c r="H118" s="6" t="inlineStr"/>
      <c r="I118" s="3" t="inlineStr">
        <is>
          <t>Fully synthetic course (not a real BU offering)</t>
        </is>
      </c>
      <c r="J118" s="3" t="inlineStr">
        <is>
          <t>Biochemistry 1 is an advanced course in biology. It covers amino acids and proteins, enzyme kinetics, carbohydrates and lipids and membranes, and builds toward metabolism and bioenergetics. Students work through weekly laboratory sessions, with later units on nucleic acids and laboratory techniques.</t>
        </is>
      </c>
      <c r="K118" s="3" t="inlineStr">
        <is>
          <t>Explain the core ideas of amino acids and proteins | Apply enzyme kinetics to solve standard problems | Analyze problems involving carbohydrates | Use lipids and membranes in practical exercises | Evaluate approaches to metabolism | Communicate findings about bioenergetics</t>
        </is>
      </c>
      <c r="L118" s="3" t="inlineStr">
        <is>
          <t>amino acids and proteins | enzyme kinetics | carbohydrates | lipids and membranes | metabolism | bioenergetics | nucleic acids | laboratory techniques</t>
        </is>
      </c>
    </row>
    <row r="119">
      <c r="A119" s="6" t="inlineStr">
        <is>
          <t>CAS CH 374</t>
        </is>
      </c>
      <c r="B119" s="6" t="inlineStr">
        <is>
          <t>CH</t>
        </is>
      </c>
      <c r="C119" s="6" t="inlineStr">
        <is>
          <t>Biochemistry 2</t>
        </is>
      </c>
      <c r="D119" s="6" t="inlineStr">
        <is>
          <t>Biology</t>
        </is>
      </c>
      <c r="E119" s="6" t="inlineStr">
        <is>
          <t>Elective</t>
        </is>
      </c>
      <c r="F119" s="6" t="n">
        <v>300</v>
      </c>
      <c r="G119" s="6" t="n">
        <v>4</v>
      </c>
      <c r="H119" s="6" t="inlineStr"/>
      <c r="I119" s="3" t="inlineStr">
        <is>
          <t>Fully synthetic course (not a real BU offering)</t>
        </is>
      </c>
      <c r="J119" s="3" t="inlineStr">
        <is>
          <t>Biochemistry 2 is an advanced course in biology. It covers metabolism, bioenergetics, lipid metabolism and nitrogen metabolism, and builds toward signal transduction and gene expression. Students work through weekly laboratory sessions, with later units on metabolic regulation and biomolecules.</t>
        </is>
      </c>
      <c r="K119" s="3" t="inlineStr">
        <is>
          <t>Explain the core ideas of metabolism | Apply bioenergetics to solve standard problems | Analyze problems involving lipid metabolism | Use nitrogen metabolism in practical exercises | Evaluate approaches to signal transduction | Communicate findings about gene expression</t>
        </is>
      </c>
      <c r="L119" s="3" t="inlineStr">
        <is>
          <t>metabolism | bioenergetics | lipid metabolism | nitrogen metabolism | signal transduction | gene expression | metabolic regulation | biomolecules</t>
        </is>
      </c>
    </row>
    <row r="120">
      <c r="A120" s="6" t="inlineStr">
        <is>
          <t>CAS CH 301</t>
        </is>
      </c>
      <c r="B120" s="6" t="inlineStr">
        <is>
          <t>CH</t>
        </is>
      </c>
      <c r="C120" s="6" t="inlineStr">
        <is>
          <t>Physical Chemistry for Life Sciences</t>
        </is>
      </c>
      <c r="D120" s="6" t="inlineStr">
        <is>
          <t>Biology</t>
        </is>
      </c>
      <c r="E120" s="6" t="inlineStr">
        <is>
          <t>Elective</t>
        </is>
      </c>
      <c r="F120" s="6" t="n">
        <v>300</v>
      </c>
      <c r="G120" s="6" t="n">
        <v>4</v>
      </c>
      <c r="H120" s="6" t="inlineStr"/>
      <c r="I120" s="3" t="inlineStr">
        <is>
          <t>Fully synthetic course (not a real BU offering)</t>
        </is>
      </c>
      <c r="J120" s="3" t="inlineStr">
        <is>
          <t>Physical Chemistry for Life Sciences is an advanced course in biology. It covers thermodynamics, chemical kinetics, quantum chemistry basics and spectroscopy, and builds toward statistical mechanics and biomolecular structure. Students work through weekly laboratory sessions, with later units on transport processes and mathematical modeling.</t>
        </is>
      </c>
      <c r="K120" s="3" t="inlineStr">
        <is>
          <t>Explain the core ideas of thermodynamics | Apply chemical kinetics to solve standard problems | Analyze problems involving quantum chemistry basics | Use spectroscopy in practical exercises | Evaluate approaches to statistical mechanics | Communicate findings about biomolecular structure</t>
        </is>
      </c>
      <c r="L120" s="3" t="inlineStr">
        <is>
          <t>thermodynamics | chemical kinetics | quantum chemistry basics | spectroscopy | statistical mechanics | biomolecular structure | transport processes | mathematical modeling</t>
        </is>
      </c>
    </row>
    <row r="121">
      <c r="A121" s="6" t="inlineStr">
        <is>
          <t>CAS BI 340</t>
        </is>
      </c>
      <c r="B121" s="6" t="inlineStr">
        <is>
          <t>BI</t>
        </is>
      </c>
      <c r="C121" s="6" t="inlineStr">
        <is>
          <t>Endocrinology</t>
        </is>
      </c>
      <c r="D121" s="6" t="inlineStr">
        <is>
          <t>Biology</t>
        </is>
      </c>
      <c r="E121" s="6" t="inlineStr">
        <is>
          <t>Elective</t>
        </is>
      </c>
      <c r="F121" s="6" t="n">
        <v>300</v>
      </c>
      <c r="G121" s="6" t="n">
        <v>4</v>
      </c>
      <c r="H121" s="3" t="inlineStr">
        <is>
          <t>Biology: at least five BI courses beyond BI 107/108 must be taken at BU</t>
        </is>
      </c>
      <c r="I121" s="3" t="inlineStr">
        <is>
          <t>Fully synthetic course (not a real BU offering)</t>
        </is>
      </c>
      <c r="J121" s="3" t="inlineStr">
        <is>
          <t>Endocrinology is an advanced course in biology. It covers endocrine system, hormone signaling, pituitary and hypothalamus and thyroid, and builds toward metabolism and reproductive hormones. Students work through weekly laboratory sessions, with later units on stress hormones and endocrine disorders.</t>
        </is>
      </c>
      <c r="K121" s="3" t="inlineStr">
        <is>
          <t>Explain the core ideas of endocrine system | Apply hormone signaling to solve standard problems | Analyze problems involving pituitary and hypothalamus | Use thyroid in practical exercises | Evaluate approaches to metabolism | Communicate findings about reproductive hormones</t>
        </is>
      </c>
      <c r="L121" s="3" t="inlineStr">
        <is>
          <t>endocrine system | hormone signaling | pituitary and hypothalamus | thyroid | metabolism | reproductive hormones | stress hormones | endocrine disorders</t>
        </is>
      </c>
    </row>
    <row r="122">
      <c r="A122" s="6" t="inlineStr">
        <is>
          <t>CAS MA 123</t>
        </is>
      </c>
      <c r="B122" s="6" t="inlineStr">
        <is>
          <t>MA</t>
        </is>
      </c>
      <c r="C122" s="6" t="inlineStr">
        <is>
          <t>Calculus I</t>
        </is>
      </c>
      <c r="D122" s="6" t="inlineStr">
        <is>
          <t>Mathematics</t>
        </is>
      </c>
      <c r="E122" s="6" t="inlineStr">
        <is>
          <t>Lower division</t>
        </is>
      </c>
      <c r="F122" s="6" t="n">
        <v>100</v>
      </c>
      <c r="G122" s="6" t="n">
        <v>4</v>
      </c>
      <c r="H122" s="6" t="inlineStr"/>
      <c r="I122" s="3" t="inlineStr">
        <is>
          <t>Code/title from provided BU workbook (public catalog); description synthetic</t>
        </is>
      </c>
      <c r="J122" s="3" t="inlineStr">
        <is>
          <t>Calculus I is an introductory course in mathematics. It covers functions, limits, continuity and derivatives, and builds toward differentiation rules and applications of derivatives. Students work through problem sets and proofs, with later units on optimization and introduction to integrals.</t>
        </is>
      </c>
      <c r="K122" s="3" t="inlineStr">
        <is>
          <t>Explain the core ideas of functions | Apply limits to solve standard problems | Analyze problems involving continuity | Use derivatives in practical exercises | Evaluate approaches to differentiation rules | Communicate findings about applications of derivatives</t>
        </is>
      </c>
      <c r="L122" s="3" t="inlineStr">
        <is>
          <t>functions | limits | continuity | derivatives | differentiation rules | applications of derivatives | optimization | introduction to integrals</t>
        </is>
      </c>
    </row>
    <row r="123">
      <c r="A123" s="6" t="inlineStr">
        <is>
          <t>CAS MA 124</t>
        </is>
      </c>
      <c r="B123" s="6" t="inlineStr">
        <is>
          <t>MA</t>
        </is>
      </c>
      <c r="C123" s="6" t="inlineStr">
        <is>
          <t>Calculus II</t>
        </is>
      </c>
      <c r="D123" s="6" t="inlineStr">
        <is>
          <t>Mathematics</t>
        </is>
      </c>
      <c r="E123" s="6" t="inlineStr">
        <is>
          <t>Lower division</t>
        </is>
      </c>
      <c r="F123" s="6" t="n">
        <v>100</v>
      </c>
      <c r="G123" s="6" t="n">
        <v>4</v>
      </c>
      <c r="H123" s="6" t="inlineStr"/>
      <c r="I123" s="3" t="inlineStr">
        <is>
          <t>Code/title from provided BU workbook (public catalog); description synthetic</t>
        </is>
      </c>
      <c r="J123" s="3" t="inlineStr">
        <is>
          <t>Calculus II is an introductory course in mathematics. It covers integration techniques, applications of integrals, improper integrals and sequences, and builds toward series and convergence tests. Students work through problem sets and proofs, with later units on power series and Taylor series.</t>
        </is>
      </c>
      <c r="K123" s="3" t="inlineStr">
        <is>
          <t>Explain the core ideas of integration techniques | Apply applications of integrals to solve standard problems | Analyze problems involving improper integrals | Use sequences in practical exercises | Evaluate approaches to series | Communicate findings about convergence tests</t>
        </is>
      </c>
      <c r="L123" s="3" t="inlineStr">
        <is>
          <t>integration techniques | applications of integrals | improper integrals | sequences | series | convergence tests | power series | Taylor series</t>
        </is>
      </c>
    </row>
    <row r="124">
      <c r="A124" s="6" t="inlineStr">
        <is>
          <t>CAS MA 225</t>
        </is>
      </c>
      <c r="B124" s="6" t="inlineStr">
        <is>
          <t>MA</t>
        </is>
      </c>
      <c r="C124" s="6" t="inlineStr">
        <is>
          <t>Multivariate Calculus</t>
        </is>
      </c>
      <c r="D124" s="6" t="inlineStr">
        <is>
          <t>Mathematics</t>
        </is>
      </c>
      <c r="E124" s="6" t="inlineStr">
        <is>
          <t>Lower division</t>
        </is>
      </c>
      <c r="F124" s="6" t="n">
        <v>200</v>
      </c>
      <c r="G124" s="6" t="n">
        <v>4</v>
      </c>
      <c r="H124" s="6" t="inlineStr"/>
      <c r="I124" s="3" t="inlineStr">
        <is>
          <t>Code/title from provided BU workbook (public catalog); description synthetic</t>
        </is>
      </c>
      <c r="J124" s="3" t="inlineStr">
        <is>
          <t>Multivariate Calculus is an intermediate course in mathematics. It covers vectors, partial derivatives, gradients and multiple integrals, and builds toward vector fields and line integrals. Students work through problem sets and proofs, with later units on surface integrals and Green's and Stokes' theorems.</t>
        </is>
      </c>
      <c r="K124" s="3" t="inlineStr">
        <is>
          <t>Explain the core ideas of vectors | Apply partial derivatives to solve standard problems | Analyze problems involving gradients | Use multiple integrals in practical exercises | Evaluate approaches to vector fields | Communicate findings about line integrals</t>
        </is>
      </c>
      <c r="L124" s="3" t="inlineStr">
        <is>
          <t>vectors | partial derivatives | gradients | multiple integrals | vector fields | line integrals | surface integrals | Green's and Stokes' theorems</t>
        </is>
      </c>
    </row>
    <row r="125">
      <c r="A125" s="6" t="inlineStr">
        <is>
          <t>CAS MA 242</t>
        </is>
      </c>
      <c r="B125" s="6" t="inlineStr">
        <is>
          <t>MA</t>
        </is>
      </c>
      <c r="C125" s="6" t="inlineStr">
        <is>
          <t>Linear Algebra</t>
        </is>
      </c>
      <c r="D125" s="6" t="inlineStr">
        <is>
          <t>Mathematics</t>
        </is>
      </c>
      <c r="E125" s="6" t="inlineStr">
        <is>
          <t>Lower division</t>
        </is>
      </c>
      <c r="F125" s="6" t="n">
        <v>200</v>
      </c>
      <c r="G125" s="6" t="n">
        <v>4</v>
      </c>
      <c r="H125" s="6" t="inlineStr"/>
      <c r="I125" s="3" t="inlineStr">
        <is>
          <t>Code/title from provided BU workbook (public catalog); description synthetic</t>
        </is>
      </c>
      <c r="J125" s="3" t="inlineStr">
        <is>
          <t>Linear Algebra is an intermediate course in mathematics. It covers linear systems, matrix algebra, determinants and vector spaces, and builds toward linear transformations and eigenvalues. Students work through problem sets and proofs, with later units on orthogonality and least squares.</t>
        </is>
      </c>
      <c r="K125" s="3" t="inlineStr">
        <is>
          <t>Explain the core ideas of linear systems | Apply matrix algebra to solve standard problems | Analyze problems involving determinants | Use vector spaces in practical exercises | Evaluate approaches to linear transformations | Communicate findings about eigenvalues</t>
        </is>
      </c>
      <c r="L125" s="3" t="inlineStr">
        <is>
          <t>linear systems | matrix algebra | determinants | vector spaces | linear transformations | eigenvalues | orthogonality | least squares</t>
        </is>
      </c>
    </row>
    <row r="126">
      <c r="A126" s="6" t="inlineStr">
        <is>
          <t>CAS MA 226</t>
        </is>
      </c>
      <c r="B126" s="6" t="inlineStr">
        <is>
          <t>MA</t>
        </is>
      </c>
      <c r="C126" s="6" t="inlineStr">
        <is>
          <t>Differential Equations</t>
        </is>
      </c>
      <c r="D126" s="6" t="inlineStr">
        <is>
          <t>Mathematics</t>
        </is>
      </c>
      <c r="E126" s="6" t="inlineStr">
        <is>
          <t>Lower division</t>
        </is>
      </c>
      <c r="F126" s="6" t="n">
        <v>200</v>
      </c>
      <c r="G126" s="6" t="n">
        <v>4</v>
      </c>
      <c r="H126" s="6" t="inlineStr"/>
      <c r="I126" s="3" t="inlineStr">
        <is>
          <t>Code/title from provided BU workbook (public catalog); description synthetic</t>
        </is>
      </c>
      <c r="J126" s="3" t="inlineStr">
        <is>
          <t>Differential Equations is an intermediate course in mathematics. It covers first-order equations, second-order linear equations, systems of equations and Laplace transforms, and builds toward series solutions and stability. Students work through problem sets and proofs, with later units on mathematical modeling and numerical methods.</t>
        </is>
      </c>
      <c r="K126" s="3" t="inlineStr">
        <is>
          <t>Explain the core ideas of first-order equations | Apply second-order linear equations to solve standard problems | Analyze problems involving systems of equations | Use Laplace transforms in practical exercises | Evaluate approaches to series solutions | Communicate findings about stability</t>
        </is>
      </c>
      <c r="L126" s="3" t="inlineStr">
        <is>
          <t>first-order equations | second-order linear equations | systems of equations | Laplace transforms | series solutions | stability | mathematical modeling | numerical methods</t>
        </is>
      </c>
    </row>
    <row r="127">
      <c r="A127" s="6" t="inlineStr">
        <is>
          <t>CAS MA 293</t>
        </is>
      </c>
      <c r="B127" s="6" t="inlineStr">
        <is>
          <t>MA</t>
        </is>
      </c>
      <c r="C127" s="6" t="inlineStr">
        <is>
          <t>Discrete Mathematics</t>
        </is>
      </c>
      <c r="D127" s="6" t="inlineStr">
        <is>
          <t>Mathematics</t>
        </is>
      </c>
      <c r="E127" s="6" t="inlineStr">
        <is>
          <t>Lower division</t>
        </is>
      </c>
      <c r="F127" s="6" t="n">
        <v>200</v>
      </c>
      <c r="G127" s="6" t="n">
        <v>4</v>
      </c>
      <c r="H127" s="6" t="inlineStr"/>
      <c r="I127" s="3" t="inlineStr">
        <is>
          <t>Code/title from provided BU workbook (public catalog); description synthetic</t>
        </is>
      </c>
      <c r="J127" s="3" t="inlineStr">
        <is>
          <t>Discrete Mathematics is an intermediate course in mathematics. It covers propositional logic, proof techniques, sets and functions and counting principles, and builds toward mathematical induction and relations. Students work through problem sets and proofs, with later units on graph basics and recurrence relations.</t>
        </is>
      </c>
      <c r="K127" s="3" t="inlineStr">
        <is>
          <t>Explain the core ideas of propositional logic | Apply proof techniques to solve standard problems | Analyze problems involving sets and functions | Use counting principles in practical exercises | Evaluate approaches to mathematical induction | Communicate findings about relations</t>
        </is>
      </c>
      <c r="L127" s="3" t="inlineStr">
        <is>
          <t>propositional logic | proof techniques | sets and functions | counting principles | mathematical induction | relations | graph basics | recurrence relations</t>
        </is>
      </c>
    </row>
    <row r="128">
      <c r="A128" s="6" t="inlineStr">
        <is>
          <t>CAS MA 581</t>
        </is>
      </c>
      <c r="B128" s="6" t="inlineStr">
        <is>
          <t>MA</t>
        </is>
      </c>
      <c r="C128" s="6" t="inlineStr">
        <is>
          <t>Probability</t>
        </is>
      </c>
      <c r="D128" s="6" t="inlineStr">
        <is>
          <t>Mathematics</t>
        </is>
      </c>
      <c r="E128" s="6" t="inlineStr">
        <is>
          <t>Upper division</t>
        </is>
      </c>
      <c r="F128" s="6" t="n">
        <v>300</v>
      </c>
      <c r="G128" s="6" t="n">
        <v>4</v>
      </c>
      <c r="H128" s="6" t="inlineStr"/>
      <c r="I128" s="3" t="inlineStr">
        <is>
          <t>Code/title from provided BU workbook (public catalog); description synthetic</t>
        </is>
      </c>
      <c r="J128" s="3" t="inlineStr">
        <is>
          <t>Probability is an advanced course in mathematics. It covers probability axioms, random variables, expectation and variance and common distributions, and builds toward joint distributions and conditional probability. Students work through problem sets and proofs, with later units on limit theorems and moment generating functions.</t>
        </is>
      </c>
      <c r="K128" s="3" t="inlineStr">
        <is>
          <t>Explain the core ideas of probability axioms | Apply random variables to solve standard problems | Analyze problems involving expectation and variance | Use common distributions in practical exercises | Evaluate approaches to joint distributions | Communicate findings about conditional probability</t>
        </is>
      </c>
      <c r="L128" s="3" t="inlineStr">
        <is>
          <t>probability axioms | random variables | expectation and variance | common distributions | joint distributions | conditional probability | limit theorems | moment generating functions</t>
        </is>
      </c>
    </row>
    <row r="129">
      <c r="A129" s="6" t="inlineStr">
        <is>
          <t>CAS MA 113</t>
        </is>
      </c>
      <c r="B129" s="6" t="inlineStr">
        <is>
          <t>MA</t>
        </is>
      </c>
      <c r="C129" s="6" t="inlineStr">
        <is>
          <t>Elementary Statistics</t>
        </is>
      </c>
      <c r="D129" s="6" t="inlineStr">
        <is>
          <t>Mathematics</t>
        </is>
      </c>
      <c r="E129" s="6" t="inlineStr">
        <is>
          <t>Elective</t>
        </is>
      </c>
      <c r="F129" s="6" t="n">
        <v>100</v>
      </c>
      <c r="G129" s="6" t="n">
        <v>4</v>
      </c>
      <c r="H129" s="6" t="inlineStr"/>
      <c r="I129" s="3" t="inlineStr">
        <is>
          <t>Fully synthetic course (not a real BU offering)</t>
        </is>
      </c>
      <c r="J129" s="3" t="inlineStr">
        <is>
          <t>Elementary Statistics is an introductory course in mathematics. It covers descriptive statistics, probability, sampling and confidence intervals, and builds toward hypothesis testing and correlation. Students work through problem sets and proofs, with later units on simple regression and data interpretation.</t>
        </is>
      </c>
      <c r="K129" s="3" t="inlineStr">
        <is>
          <t>Explain the core ideas of descriptive statistics | Apply probability to solve standard problems | Analyze problems involving sampling | Use confidence intervals in practical exercises | Evaluate approaches to hypothesis testing | Communicate findings about correlation</t>
        </is>
      </c>
      <c r="L129" s="3" t="inlineStr">
        <is>
          <t>descriptive statistics | probability | sampling | confidence intervals | hypothesis testing | correlation | simple regression | data interpretation</t>
        </is>
      </c>
    </row>
    <row r="130">
      <c r="A130" s="6" t="inlineStr">
        <is>
          <t>CAS MA 115</t>
        </is>
      </c>
      <c r="B130" s="6" t="inlineStr">
        <is>
          <t>MA</t>
        </is>
      </c>
      <c r="C130" s="6" t="inlineStr">
        <is>
          <t>Statistics 1</t>
        </is>
      </c>
      <c r="D130" s="6" t="inlineStr">
        <is>
          <t>Mathematics</t>
        </is>
      </c>
      <c r="E130" s="6" t="inlineStr">
        <is>
          <t>Elective</t>
        </is>
      </c>
      <c r="F130" s="6" t="n">
        <v>100</v>
      </c>
      <c r="G130" s="6" t="n">
        <v>4</v>
      </c>
      <c r="H130" s="6" t="inlineStr"/>
      <c r="I130" s="3" t="inlineStr">
        <is>
          <t>Fully synthetic course (not a real BU offering)</t>
        </is>
      </c>
      <c r="J130" s="3" t="inlineStr">
        <is>
          <t>Statistics 1 is an introductory course in mathematics. It covers descriptive statistics, probability, random variables and sampling distributions, and builds toward confidence intervals and hypothesis testing. Students work through problem sets and proofs, with later units on simple regression and statistical software.</t>
        </is>
      </c>
      <c r="K130" s="3" t="inlineStr">
        <is>
          <t>Explain the core ideas of descriptive statistics | Apply probability to solve standard problems | Analyze problems involving random variables | Use sampling distributions in practical exercises | Evaluate approaches to confidence intervals | Communicate findings about hypothesis testing</t>
        </is>
      </c>
      <c r="L130" s="3" t="inlineStr">
        <is>
          <t>descriptive statistics | probability | random variables | sampling distributions | confidence intervals | hypothesis testing | simple regression | statistical software</t>
        </is>
      </c>
    </row>
    <row r="131">
      <c r="A131" s="6" t="inlineStr">
        <is>
          <t>CAS MA 116</t>
        </is>
      </c>
      <c r="B131" s="6" t="inlineStr">
        <is>
          <t>MA</t>
        </is>
      </c>
      <c r="C131" s="6" t="inlineStr">
        <is>
          <t>Statistics 2</t>
        </is>
      </c>
      <c r="D131" s="6" t="inlineStr">
        <is>
          <t>Mathematics</t>
        </is>
      </c>
      <c r="E131" s="6" t="inlineStr">
        <is>
          <t>Elective</t>
        </is>
      </c>
      <c r="F131" s="6" t="n">
        <v>100</v>
      </c>
      <c r="G131" s="6" t="n">
        <v>4</v>
      </c>
      <c r="H131" s="6" t="inlineStr"/>
      <c r="I131" s="3" t="inlineStr">
        <is>
          <t>Fully synthetic course (not a real BU offering)</t>
        </is>
      </c>
      <c r="J131" s="3" t="inlineStr">
        <is>
          <t>Statistics 2 is an introductory course in mathematics. It covers multiple regression, analysis of variance, chi-square tests and nonparametric tests, and builds toward experimental design and model diagnostics. Students work through problem sets and proofs, with later units on categorical data and statistical software.</t>
        </is>
      </c>
      <c r="K131" s="3" t="inlineStr">
        <is>
          <t>Explain the core ideas of multiple regression | Apply analysis of variance to solve standard problems | Analyze problems involving chi-square tests | Use nonparametric tests in practical exercises | Evaluate approaches to experimental design | Communicate findings about model diagnostics</t>
        </is>
      </c>
      <c r="L131" s="3" t="inlineStr">
        <is>
          <t>multiple regression | analysis of variance | chi-square tests | nonparametric tests | experimental design | model diagnostics | categorical data | statistical software</t>
        </is>
      </c>
    </row>
    <row r="132">
      <c r="A132" s="6" t="inlineStr">
        <is>
          <t>CAS MA 118</t>
        </is>
      </c>
      <c r="B132" s="6" t="inlineStr">
        <is>
          <t>MA</t>
        </is>
      </c>
      <c r="C132" s="6" t="inlineStr">
        <is>
          <t>College Algebra and Trigonometry</t>
        </is>
      </c>
      <c r="D132" s="6" t="inlineStr">
        <is>
          <t>Mathematics</t>
        </is>
      </c>
      <c r="E132" s="6" t="inlineStr">
        <is>
          <t>Elective</t>
        </is>
      </c>
      <c r="F132" s="6" t="n">
        <v>100</v>
      </c>
      <c r="G132" s="6" t="n">
        <v>4</v>
      </c>
      <c r="H132" s="6" t="inlineStr"/>
      <c r="I132" s="3" t="inlineStr">
        <is>
          <t>Fully synthetic course (not a real BU offering)</t>
        </is>
      </c>
      <c r="J132" s="3" t="inlineStr">
        <is>
          <t>College Algebra and Trigonometry is an introductory course in mathematics. It covers equations and inequalities, functions, polynomial functions and exponential functions, and builds toward logarithms and trigonometric functions. Students work through problem sets and proofs, with later units on trigonometric identities and systems of equations.</t>
        </is>
      </c>
      <c r="K132" s="3" t="inlineStr">
        <is>
          <t>Explain the core ideas of equations and inequalities | Apply functions to solve standard problems | Analyze problems involving polynomial functions | Use exponential functions in practical exercises | Evaluate approaches to logarithms | Communicate findings about trigonometric functions</t>
        </is>
      </c>
      <c r="L132" s="3" t="inlineStr">
        <is>
          <t>equations and inequalities | functions | polynomial functions | exponential functions | logarithms | trigonometric functions | trigonometric identities | systems of equations</t>
        </is>
      </c>
    </row>
    <row r="133">
      <c r="A133" s="6" t="inlineStr">
        <is>
          <t>CAS MA 120</t>
        </is>
      </c>
      <c r="B133" s="6" t="inlineStr">
        <is>
          <t>MA</t>
        </is>
      </c>
      <c r="C133" s="6" t="inlineStr">
        <is>
          <t>Applied Calculus</t>
        </is>
      </c>
      <c r="D133" s="6" t="inlineStr">
        <is>
          <t>Mathematics</t>
        </is>
      </c>
      <c r="E133" s="6" t="inlineStr">
        <is>
          <t>Elective</t>
        </is>
      </c>
      <c r="F133" s="6" t="n">
        <v>100</v>
      </c>
      <c r="G133" s="6" t="n">
        <v>4</v>
      </c>
      <c r="H133" s="6" t="inlineStr"/>
      <c r="I133" s="3" t="inlineStr">
        <is>
          <t>Fully synthetic course (not a real BU offering)</t>
        </is>
      </c>
      <c r="J133" s="3" t="inlineStr">
        <is>
          <t>Applied Calculus is an introductory course in mathematics. It covers functions, limits, derivatives and applications of derivatives, and builds toward optimization and exponential models. Students work through problem sets and proofs, with later units on introduction to integrals and business applications.</t>
        </is>
      </c>
      <c r="K133" s="3" t="inlineStr">
        <is>
          <t>Explain the core ideas of functions | Apply limits to solve standard problems | Analyze problems involving derivatives | Use applications of derivatives in practical exercises | Evaluate approaches to optimization | Communicate findings about exponential models</t>
        </is>
      </c>
      <c r="L133" s="3" t="inlineStr">
        <is>
          <t>functions | limits | derivatives | applications of derivatives | optimization | exponential models | introduction to integrals | business applications</t>
        </is>
      </c>
    </row>
    <row r="134">
      <c r="A134" s="6" t="inlineStr">
        <is>
          <t>CAS MA 121</t>
        </is>
      </c>
      <c r="B134" s="6" t="inlineStr">
        <is>
          <t>MA</t>
        </is>
      </c>
      <c r="C134" s="6" t="inlineStr">
        <is>
          <t>Calculus for the Life Sciences</t>
        </is>
      </c>
      <c r="D134" s="6" t="inlineStr">
        <is>
          <t>Mathematics</t>
        </is>
      </c>
      <c r="E134" s="6" t="inlineStr">
        <is>
          <t>Elective</t>
        </is>
      </c>
      <c r="F134" s="6" t="n">
        <v>100</v>
      </c>
      <c r="G134" s="6" t="n">
        <v>4</v>
      </c>
      <c r="H134" s="6" t="inlineStr"/>
      <c r="I134" s="3" t="inlineStr">
        <is>
          <t>Fully synthetic course (not a real BU offering)</t>
        </is>
      </c>
      <c r="J134" s="3" t="inlineStr">
        <is>
          <t>Calculus for the Life Sciences is an introductory course in mathematics. It covers functions, limits, derivatives and optimization, and builds toward introduction to integrals and exponential models. Students work through problem sets and proofs, with later units on differential equations basics and biological applications.</t>
        </is>
      </c>
      <c r="K134" s="3" t="inlineStr">
        <is>
          <t>Explain the core ideas of functions | Apply limits to solve standard problems | Analyze problems involving derivatives | Use optimization in practical exercises | Evaluate approaches to introduction to integrals | Communicate findings about exponential models</t>
        </is>
      </c>
      <c r="L134" s="3" t="inlineStr">
        <is>
          <t>functions | limits | derivatives | optimization | introduction to integrals | exponential models | differential equations basics | biological applications</t>
        </is>
      </c>
    </row>
    <row r="135">
      <c r="A135" s="6" t="inlineStr">
        <is>
          <t>CAS MA 213</t>
        </is>
      </c>
      <c r="B135" s="6" t="inlineStr">
        <is>
          <t>MA</t>
        </is>
      </c>
      <c r="C135" s="6" t="inlineStr">
        <is>
          <t>Basic Statistics and Probability</t>
        </is>
      </c>
      <c r="D135" s="6" t="inlineStr">
        <is>
          <t>Mathematics</t>
        </is>
      </c>
      <c r="E135" s="6" t="inlineStr">
        <is>
          <t>Elective</t>
        </is>
      </c>
      <c r="F135" s="6" t="n">
        <v>200</v>
      </c>
      <c r="G135" s="6" t="n">
        <v>4</v>
      </c>
      <c r="H135" s="6" t="inlineStr"/>
      <c r="I135" s="3" t="inlineStr">
        <is>
          <t>Fully synthetic course (not a real BU offering)</t>
        </is>
      </c>
      <c r="J135" s="3" t="inlineStr">
        <is>
          <t>Basic Statistics and Probability is an intermediate course in mathematics. It covers descriptive statistics, probability, random variables and common distributions, and builds toward sampling and confidence intervals. Students work through problem sets and proofs, with later units on hypothesis testing and regression basics.</t>
        </is>
      </c>
      <c r="K135" s="3" t="inlineStr">
        <is>
          <t>Explain the core ideas of descriptive statistics | Apply probability to solve standard problems | Analyze problems involving random variables | Use common distributions in practical exercises | Evaluate approaches to sampling | Communicate findings about confidence intervals</t>
        </is>
      </c>
      <c r="L135" s="3" t="inlineStr">
        <is>
          <t>descriptive statistics | probability | random variables | common distributions | sampling | confidence intervals | hypothesis testing | regression basics</t>
        </is>
      </c>
    </row>
    <row r="136">
      <c r="A136" s="6" t="inlineStr">
        <is>
          <t>CAS MA 300</t>
        </is>
      </c>
      <c r="B136" s="6" t="inlineStr">
        <is>
          <t>MA</t>
        </is>
      </c>
      <c r="C136" s="6" t="inlineStr">
        <is>
          <t>Introduction to Proofs</t>
        </is>
      </c>
      <c r="D136" s="6" t="inlineStr">
        <is>
          <t>Mathematics</t>
        </is>
      </c>
      <c r="E136" s="6" t="inlineStr">
        <is>
          <t>Elective</t>
        </is>
      </c>
      <c r="F136" s="6" t="n">
        <v>300</v>
      </c>
      <c r="G136" s="6" t="n">
        <v>4</v>
      </c>
      <c r="H136" s="6" t="inlineStr"/>
      <c r="I136" s="3" t="inlineStr">
        <is>
          <t>Fully synthetic course (not a real BU offering)</t>
        </is>
      </c>
      <c r="J136" s="3" t="inlineStr">
        <is>
          <t>Introduction to Proofs is an advanced course in mathematics. It covers propositional logic, proof techniques, sets and functions and mathematical induction, and builds toward relations and cardinality. Students work through problem sets and proofs, with later units on number systems and mathematical writing.</t>
        </is>
      </c>
      <c r="K136" s="3" t="inlineStr">
        <is>
          <t>Explain the core ideas of propositional logic | Apply proof techniques to solve standard problems | Analyze problems involving sets and functions | Use mathematical induction in practical exercises | Evaluate approaches to relations | Communicate findings about cardinality</t>
        </is>
      </c>
      <c r="L136" s="3" t="inlineStr">
        <is>
          <t>propositional logic | proof techniques | sets and functions | mathematical induction | relations | cardinality | number systems | mathematical writing</t>
        </is>
      </c>
    </row>
    <row r="137">
      <c r="A137" s="6" t="inlineStr">
        <is>
          <t>CAS MA 311</t>
        </is>
      </c>
      <c r="B137" s="6" t="inlineStr">
        <is>
          <t>MA</t>
        </is>
      </c>
      <c r="C137" s="6" t="inlineStr">
        <is>
          <t>Real Analysis 1</t>
        </is>
      </c>
      <c r="D137" s="6" t="inlineStr">
        <is>
          <t>Mathematics</t>
        </is>
      </c>
      <c r="E137" s="6" t="inlineStr">
        <is>
          <t>Elective</t>
        </is>
      </c>
      <c r="F137" s="6" t="n">
        <v>300</v>
      </c>
      <c r="G137" s="6" t="n">
        <v>4</v>
      </c>
      <c r="H137" s="6" t="inlineStr"/>
      <c r="I137" s="3" t="inlineStr">
        <is>
          <t>Fully synthetic course (not a real BU offering)</t>
        </is>
      </c>
      <c r="J137" s="3" t="inlineStr">
        <is>
          <t>Real Analysis 1 is an advanced course in mathematics. It covers real numbers, sequences, series and continuity, and builds toward differentiability and Riemann integration. Students work through problem sets and proofs, with later units on uniform convergence and metric spaces.</t>
        </is>
      </c>
      <c r="K137" s="3" t="inlineStr">
        <is>
          <t>Explain the core ideas of real numbers | Apply sequences to solve standard problems | Analyze problems involving series | Use continuity in practical exercises | Evaluate approaches to differentiability | Communicate findings about Riemann integration</t>
        </is>
      </c>
      <c r="L137" s="3" t="inlineStr">
        <is>
          <t>real numbers | sequences | series | continuity | differentiability | Riemann integration | uniform convergence | metric spaces</t>
        </is>
      </c>
    </row>
    <row r="138">
      <c r="A138" s="6" t="inlineStr">
        <is>
          <t>CAS MA 312</t>
        </is>
      </c>
      <c r="B138" s="6" t="inlineStr">
        <is>
          <t>MA</t>
        </is>
      </c>
      <c r="C138" s="6" t="inlineStr">
        <is>
          <t>Real Analysis 2</t>
        </is>
      </c>
      <c r="D138" s="6" t="inlineStr">
        <is>
          <t>Mathematics</t>
        </is>
      </c>
      <c r="E138" s="6" t="inlineStr">
        <is>
          <t>Elective</t>
        </is>
      </c>
      <c r="F138" s="6" t="n">
        <v>300</v>
      </c>
      <c r="G138" s="6" t="n">
        <v>4</v>
      </c>
      <c r="H138" s="6" t="inlineStr"/>
      <c r="I138" s="3" t="inlineStr">
        <is>
          <t>Fully synthetic course (not a real BU offering)</t>
        </is>
      </c>
      <c r="J138" s="3" t="inlineStr">
        <is>
          <t>Real Analysis 2 is an advanced course in mathematics. It covers metric spaces, compactness, uniform convergence and power series, and builds toward Fourier series and Lebesgue measure. Students work through problem sets and proofs, with later units on multivariable analysis and function spaces.</t>
        </is>
      </c>
      <c r="K138" s="3" t="inlineStr">
        <is>
          <t>Explain the core ideas of metric spaces | Apply compactness to solve standard problems | Analyze problems involving uniform convergence | Use power series in practical exercises | Evaluate approaches to Fourier series | Communicate findings about Lebesgue measure</t>
        </is>
      </c>
      <c r="L138" s="3" t="inlineStr">
        <is>
          <t>metric spaces | compactness | uniform convergence | power series | Fourier series | Lebesgue measure | multivariable analysis | function spaces</t>
        </is>
      </c>
    </row>
    <row r="139">
      <c r="A139" s="6" t="inlineStr">
        <is>
          <t>CAS MA 320</t>
        </is>
      </c>
      <c r="B139" s="6" t="inlineStr">
        <is>
          <t>MA</t>
        </is>
      </c>
      <c r="C139" s="6" t="inlineStr">
        <is>
          <t>Abstract Algebra 1</t>
        </is>
      </c>
      <c r="D139" s="6" t="inlineStr">
        <is>
          <t>Mathematics</t>
        </is>
      </c>
      <c r="E139" s="6" t="inlineStr">
        <is>
          <t>Elective</t>
        </is>
      </c>
      <c r="F139" s="6" t="n">
        <v>300</v>
      </c>
      <c r="G139" s="6" t="n">
        <v>4</v>
      </c>
      <c r="H139" s="6" t="inlineStr"/>
      <c r="I139" s="3" t="inlineStr">
        <is>
          <t>Fully synthetic course (not a real BU offering)</t>
        </is>
      </c>
      <c r="J139" s="3" t="inlineStr">
        <is>
          <t>Abstract Algebra 1 is an advanced course in mathematics. It covers groups, subgroups, cyclic groups and permutation groups, and builds toward homomorphisms and quotient groups. Students work through problem sets and proofs, with later units on group actions and Sylow theorems.</t>
        </is>
      </c>
      <c r="K139" s="3" t="inlineStr">
        <is>
          <t>Explain the core ideas of groups | Apply subgroups to solve standard problems | Analyze problems involving cyclic groups | Use permutation groups in practical exercises | Evaluate approaches to homomorphisms | Communicate findings about quotient groups</t>
        </is>
      </c>
      <c r="L139" s="3" t="inlineStr">
        <is>
          <t>groups | subgroups | cyclic groups | permutation groups | homomorphisms | quotient groups | group actions | Sylow theorems</t>
        </is>
      </c>
    </row>
    <row r="140">
      <c r="A140" s="6" t="inlineStr">
        <is>
          <t>CAS MA 321</t>
        </is>
      </c>
      <c r="B140" s="6" t="inlineStr">
        <is>
          <t>MA</t>
        </is>
      </c>
      <c r="C140" s="6" t="inlineStr">
        <is>
          <t>Abstract Algebra 2</t>
        </is>
      </c>
      <c r="D140" s="6" t="inlineStr">
        <is>
          <t>Mathematics</t>
        </is>
      </c>
      <c r="E140" s="6" t="inlineStr">
        <is>
          <t>Elective</t>
        </is>
      </c>
      <c r="F140" s="6" t="n">
        <v>300</v>
      </c>
      <c r="G140" s="6" t="n">
        <v>4</v>
      </c>
      <c r="H140" s="6" t="inlineStr"/>
      <c r="I140" s="3" t="inlineStr">
        <is>
          <t>Fully synthetic course (not a real BU offering)</t>
        </is>
      </c>
      <c r="J140" s="3" t="inlineStr">
        <is>
          <t>Abstract Algebra 2 is an advanced course in mathematics. It covers groups and rings, ideals, polynomial rings and integral domains, and builds toward field extensions and finite fields. Students work through problem sets and proofs, with later units on Galois theory and modules.</t>
        </is>
      </c>
      <c r="K140" s="3" t="inlineStr">
        <is>
          <t>Explain the core ideas of groups and rings | Apply ideals to solve standard problems | Analyze problems involving polynomial rings | Use integral domains in practical exercises | Evaluate approaches to field extensions | Communicate findings about finite fields</t>
        </is>
      </c>
      <c r="L140" s="3" t="inlineStr">
        <is>
          <t>groups and rings | ideals | polynomial rings | integral domains | field extensions | finite fields | Galois theory | modules</t>
        </is>
      </c>
    </row>
    <row r="141">
      <c r="A141" s="6" t="inlineStr">
        <is>
          <t>CAS MA 330</t>
        </is>
      </c>
      <c r="B141" s="6" t="inlineStr">
        <is>
          <t>MA</t>
        </is>
      </c>
      <c r="C141" s="6" t="inlineStr">
        <is>
          <t>Number Theory</t>
        </is>
      </c>
      <c r="D141" s="6" t="inlineStr">
        <is>
          <t>Mathematics</t>
        </is>
      </c>
      <c r="E141" s="6" t="inlineStr">
        <is>
          <t>Elective</t>
        </is>
      </c>
      <c r="F141" s="6" t="n">
        <v>300</v>
      </c>
      <c r="G141" s="6" t="n">
        <v>4</v>
      </c>
      <c r="H141" s="6" t="inlineStr"/>
      <c r="I141" s="3" t="inlineStr">
        <is>
          <t>Fully synthetic course (not a real BU offering)</t>
        </is>
      </c>
      <c r="J141" s="3" t="inlineStr">
        <is>
          <t>Number Theory is an advanced course in mathematics. It covers divisibility, prime numbers, modular arithmetic and congruences, and builds toward quadratic reciprocity and Diophantine equations. Students work through problem sets and proofs, with later units on arithmetic functions and public-key cryptography.</t>
        </is>
      </c>
      <c r="K141" s="3" t="inlineStr">
        <is>
          <t>Explain the core ideas of divisibility | Apply prime numbers to solve standard problems | Analyze problems involving modular arithmetic | Use congruences in practical exercises | Evaluate approaches to quadratic reciprocity | Communicate findings about Diophantine equations</t>
        </is>
      </c>
      <c r="L141" s="3" t="inlineStr">
        <is>
          <t>divisibility | prime numbers | modular arithmetic | congruences | quadratic reciprocity | Diophantine equations | arithmetic functions | public-key cryptography</t>
        </is>
      </c>
    </row>
    <row r="142">
      <c r="A142" s="6" t="inlineStr">
        <is>
          <t>CAS MA 335</t>
        </is>
      </c>
      <c r="B142" s="6" t="inlineStr">
        <is>
          <t>MA</t>
        </is>
      </c>
      <c r="C142" s="6" t="inlineStr">
        <is>
          <t>Geometry</t>
        </is>
      </c>
      <c r="D142" s="6" t="inlineStr">
        <is>
          <t>Mathematics</t>
        </is>
      </c>
      <c r="E142" s="6" t="inlineStr">
        <is>
          <t>Elective</t>
        </is>
      </c>
      <c r="F142" s="6" t="n">
        <v>300</v>
      </c>
      <c r="G142" s="6" t="n">
        <v>4</v>
      </c>
      <c r="H142" s="6" t="inlineStr"/>
      <c r="I142" s="3" t="inlineStr">
        <is>
          <t>Fully synthetic course (not a real BU offering)</t>
        </is>
      </c>
      <c r="J142" s="3" t="inlineStr">
        <is>
          <t>Geometry is an advanced course in mathematics. It covers Euclidean geometry, axiomatic systems, non-Euclidean geometry and geometric transformations, and builds toward projective geometry and constructions. Students work through problem sets and proofs, with later units on geometric proofs and symmetry.</t>
        </is>
      </c>
      <c r="K142" s="3" t="inlineStr">
        <is>
          <t>Explain the core ideas of Euclidean geometry | Apply axiomatic systems to solve standard problems | Analyze problems involving non-Euclidean geometry | Use geometric transformations in practical exercises | Evaluate approaches to projective geometry | Communicate findings about constructions</t>
        </is>
      </c>
      <c r="L142" s="3" t="inlineStr">
        <is>
          <t>Euclidean geometry | axiomatic systems | non-Euclidean geometry | geometric transformations | projective geometry | constructions | geometric proofs | symmetry</t>
        </is>
      </c>
    </row>
    <row r="143">
      <c r="A143" s="6" t="inlineStr">
        <is>
          <t>CAS MA 340</t>
        </is>
      </c>
      <c r="B143" s="6" t="inlineStr">
        <is>
          <t>MA</t>
        </is>
      </c>
      <c r="C143" s="6" t="inlineStr">
        <is>
          <t>Topology</t>
        </is>
      </c>
      <c r="D143" s="6" t="inlineStr">
        <is>
          <t>Mathematics</t>
        </is>
      </c>
      <c r="E143" s="6" t="inlineStr">
        <is>
          <t>Elective</t>
        </is>
      </c>
      <c r="F143" s="6" t="n">
        <v>300</v>
      </c>
      <c r="G143" s="6" t="n">
        <v>4</v>
      </c>
      <c r="H143" s="6" t="inlineStr"/>
      <c r="I143" s="3" t="inlineStr">
        <is>
          <t>Fully synthetic course (not a real BU offering)</t>
        </is>
      </c>
      <c r="J143" s="3" t="inlineStr">
        <is>
          <t>Topology is an advanced course in mathematics. It covers topological spaces, open and closed sets, continuity and compactness, and builds toward connectedness and metric spaces. Students work through problem sets and proofs, with later units on quotient spaces and fundamental group.</t>
        </is>
      </c>
      <c r="K143" s="3" t="inlineStr">
        <is>
          <t>Explain the core ideas of topological spaces | Apply open and closed sets to solve standard problems | Analyze problems involving continuity | Use compactness in practical exercises | Evaluate approaches to connectedness | Communicate findings about metric spaces</t>
        </is>
      </c>
      <c r="L143" s="3" t="inlineStr">
        <is>
          <t>topological spaces | open and closed sets | continuity | compactness | connectedness | metric spaces | quotient spaces | fundamental group</t>
        </is>
      </c>
    </row>
    <row r="144">
      <c r="A144" s="6" t="inlineStr">
        <is>
          <t>CAS MA 345</t>
        </is>
      </c>
      <c r="B144" s="6" t="inlineStr">
        <is>
          <t>MA</t>
        </is>
      </c>
      <c r="C144" s="6" t="inlineStr">
        <is>
          <t>Complex Variables</t>
        </is>
      </c>
      <c r="D144" s="6" t="inlineStr">
        <is>
          <t>Mathematics</t>
        </is>
      </c>
      <c r="E144" s="6" t="inlineStr">
        <is>
          <t>Elective</t>
        </is>
      </c>
      <c r="F144" s="6" t="n">
        <v>300</v>
      </c>
      <c r="G144" s="6" t="n">
        <v>4</v>
      </c>
      <c r="H144" s="6" t="inlineStr"/>
      <c r="I144" s="3" t="inlineStr">
        <is>
          <t>Fully synthetic course (not a real BU offering)</t>
        </is>
      </c>
      <c r="J144" s="3" t="inlineStr">
        <is>
          <t>Complex Variables is an advanced course in mathematics. It covers complex numbers, analytic functions, Cauchy-Riemann equations and complex integration, and builds toward Cauchy's theorem and power series. Students work through problem sets and proofs, with later units on residues and conformal mapping.</t>
        </is>
      </c>
      <c r="K144" s="3" t="inlineStr">
        <is>
          <t>Explain the core ideas of complex numbers | Apply analytic functions to solve standard problems | Analyze problems involving Cauchy-Riemann equations | Use complex integration in practical exercises | Evaluate approaches to Cauchy's theorem | Communicate findings about power series</t>
        </is>
      </c>
      <c r="L144" s="3" t="inlineStr">
        <is>
          <t>complex numbers | analytic functions | Cauchy-Riemann equations | complex integration | Cauchy's theorem | power series | residues | conformal mapping</t>
        </is>
      </c>
    </row>
    <row r="145">
      <c r="A145" s="6" t="inlineStr">
        <is>
          <t>CAS MA 350</t>
        </is>
      </c>
      <c r="B145" s="6" t="inlineStr">
        <is>
          <t>MA</t>
        </is>
      </c>
      <c r="C145" s="6" t="inlineStr">
        <is>
          <t>Numerical Analysis</t>
        </is>
      </c>
      <c r="D145" s="6" t="inlineStr">
        <is>
          <t>Mathematics</t>
        </is>
      </c>
      <c r="E145" s="6" t="inlineStr">
        <is>
          <t>Elective</t>
        </is>
      </c>
      <c r="F145" s="6" t="n">
        <v>300</v>
      </c>
      <c r="G145" s="6" t="n">
        <v>4</v>
      </c>
      <c r="H145" s="6" t="inlineStr"/>
      <c r="I145" s="3" t="inlineStr">
        <is>
          <t>Fully synthetic course (not a real BU offering)</t>
        </is>
      </c>
      <c r="J145" s="3" t="inlineStr">
        <is>
          <t>Numerical Analysis is an advanced course in mathematics. It covers floating-point arithmetic, root finding, interpolation and numerical integration, and builds toward numerical linear algebra and numerical methods for differential equations. Students work through problem sets and proofs, with later units on error analysis and scientific programming.</t>
        </is>
      </c>
      <c r="K145" s="3" t="inlineStr">
        <is>
          <t>Explain the core ideas of floating-point arithmetic | Apply root finding to solve standard problems | Analyze problems involving interpolation | Use numerical integration in practical exercises | Evaluate approaches to numerical linear algebra | Communicate findings about numerical methods for differential equations</t>
        </is>
      </c>
      <c r="L145" s="3" t="inlineStr">
        <is>
          <t>floating-point arithmetic | root finding | interpolation | numerical integration | numerical linear algebra | numerical methods for differential equations | error analysis | scientific programming</t>
        </is>
      </c>
    </row>
    <row r="146">
      <c r="A146" s="6" t="inlineStr">
        <is>
          <t>CAS MA 355</t>
        </is>
      </c>
      <c r="B146" s="6" t="inlineStr">
        <is>
          <t>MA</t>
        </is>
      </c>
      <c r="C146" s="6" t="inlineStr">
        <is>
          <t>Partial Differential Equations</t>
        </is>
      </c>
      <c r="D146" s="6" t="inlineStr">
        <is>
          <t>Mathematics</t>
        </is>
      </c>
      <c r="E146" s="6" t="inlineStr">
        <is>
          <t>Elective</t>
        </is>
      </c>
      <c r="F146" s="6" t="n">
        <v>300</v>
      </c>
      <c r="G146" s="6" t="n">
        <v>4</v>
      </c>
      <c r="H146" s="6" t="inlineStr"/>
      <c r="I146" s="3" t="inlineStr">
        <is>
          <t>Fully synthetic course (not a real BU offering)</t>
        </is>
      </c>
      <c r="J146" s="3" t="inlineStr">
        <is>
          <t>Partial Differential Equations is an advanced course in mathematics. It covers heat equation, wave equation, Laplace equation and separation of variables, and builds toward Fourier series and boundary value problems. Students work through problem sets and proofs, with later units on characteristics and mathematical modeling.</t>
        </is>
      </c>
      <c r="K146" s="3" t="inlineStr">
        <is>
          <t>Explain the core ideas of heat equation | Apply wave equation to solve standard problems | Analyze problems involving Laplace equation | Use separation of variables in practical exercises | Evaluate approaches to Fourier series | Communicate findings about boundary value problems</t>
        </is>
      </c>
      <c r="L146" s="3" t="inlineStr">
        <is>
          <t>heat equation | wave equation | Laplace equation | separation of variables | Fourier series | boundary value problems | characteristics | mathematical modeling</t>
        </is>
      </c>
    </row>
    <row r="147">
      <c r="A147" s="6" t="inlineStr">
        <is>
          <t>CAS MA 360</t>
        </is>
      </c>
      <c r="B147" s="6" t="inlineStr">
        <is>
          <t>MA</t>
        </is>
      </c>
      <c r="C147" s="6" t="inlineStr">
        <is>
          <t>Mathematical Modeling</t>
        </is>
      </c>
      <c r="D147" s="6" t="inlineStr">
        <is>
          <t>Mathematics</t>
        </is>
      </c>
      <c r="E147" s="6" t="inlineStr">
        <is>
          <t>Elective</t>
        </is>
      </c>
      <c r="F147" s="6" t="n">
        <v>300</v>
      </c>
      <c r="G147" s="6" t="n">
        <v>4</v>
      </c>
      <c r="H147" s="6" t="inlineStr"/>
      <c r="I147" s="3" t="inlineStr">
        <is>
          <t>Fully synthetic course (not a real BU offering)</t>
        </is>
      </c>
      <c r="J147" s="3" t="inlineStr">
        <is>
          <t>Mathematical Modeling is an advanced course in mathematics. It covers model formulation, dimensional analysis, differential equations models and discrete models, and builds toward optimization and simulation. Students work through problem sets and proofs, with later units on data fitting and model validation.</t>
        </is>
      </c>
      <c r="K147" s="3" t="inlineStr">
        <is>
          <t>Explain the core ideas of model formulation | Apply dimensional analysis to solve standard problems | Analyze problems involving differential equations models | Use discrete models in practical exercises | Evaluate approaches to optimization | Communicate findings about simulation</t>
        </is>
      </c>
      <c r="L147" s="3" t="inlineStr">
        <is>
          <t>model formulation | dimensional analysis | differential equations models | discrete models | optimization | simulation | data fitting | model validation</t>
        </is>
      </c>
    </row>
    <row r="148">
      <c r="A148" s="6" t="inlineStr">
        <is>
          <t>CAS MA 370</t>
        </is>
      </c>
      <c r="B148" s="6" t="inlineStr">
        <is>
          <t>MA</t>
        </is>
      </c>
      <c r="C148" s="6" t="inlineStr">
        <is>
          <t>Combinatorics</t>
        </is>
      </c>
      <c r="D148" s="6" t="inlineStr">
        <is>
          <t>Mathematics</t>
        </is>
      </c>
      <c r="E148" s="6" t="inlineStr">
        <is>
          <t>Elective</t>
        </is>
      </c>
      <c r="F148" s="6" t="n">
        <v>300</v>
      </c>
      <c r="G148" s="6" t="n">
        <v>4</v>
      </c>
      <c r="H148" s="6" t="inlineStr"/>
      <c r="I148" s="3" t="inlineStr">
        <is>
          <t>Fully synthetic course (not a real BU offering)</t>
        </is>
      </c>
      <c r="J148" s="3" t="inlineStr">
        <is>
          <t>Combinatorics is an advanced course in mathematics. It covers counting principles, permutations and combinations, generating functions and recurrence relations, and builds toward inclusion-exclusion and graph theory. Students work through problem sets and proofs, with later units on pigeonhole principle and combinatorial designs.</t>
        </is>
      </c>
      <c r="K148" s="3" t="inlineStr">
        <is>
          <t>Explain the core ideas of counting principles | Apply permutations and combinations to solve standard problems | Analyze problems involving generating functions | Use recurrence relations in practical exercises | Evaluate approaches to inclusion-exclusion | Communicate findings about graph theory</t>
        </is>
      </c>
      <c r="L148" s="3" t="inlineStr">
        <is>
          <t>counting principles | permutations and combinations | generating functions | recurrence relations | inclusion-exclusion | graph theory | pigeonhole principle | combinatorial designs</t>
        </is>
      </c>
    </row>
    <row r="149">
      <c r="A149" s="6" t="inlineStr">
        <is>
          <t>CAS MA 382</t>
        </is>
      </c>
      <c r="B149" s="6" t="inlineStr">
        <is>
          <t>MA</t>
        </is>
      </c>
      <c r="C149" s="6" t="inlineStr">
        <is>
          <t>Mathematical Statistics</t>
        </is>
      </c>
      <c r="D149" s="6" t="inlineStr">
        <is>
          <t>Mathematics</t>
        </is>
      </c>
      <c r="E149" s="6" t="inlineStr">
        <is>
          <t>Elective</t>
        </is>
      </c>
      <c r="F149" s="6" t="n">
        <v>300</v>
      </c>
      <c r="G149" s="6" t="n">
        <v>4</v>
      </c>
      <c r="H149" s="6" t="inlineStr"/>
      <c r="I149" s="3" t="inlineStr">
        <is>
          <t>Fully synthetic course (not a real BU offering)</t>
        </is>
      </c>
      <c r="J149" s="3" t="inlineStr">
        <is>
          <t>Mathematical Statistics is an advanced course in mathematics. It covers sampling distributions, point estimation, maximum likelihood and confidence intervals, and builds toward hypothesis testing and likelihood ratio tests. Students work through problem sets and proofs, with later units on Bayesian inference and linear models.</t>
        </is>
      </c>
      <c r="K149" s="3" t="inlineStr">
        <is>
          <t>Explain the core ideas of sampling distributions | Apply point estimation to solve standard problems | Analyze problems involving maximum likelihood | Use confidence intervals in practical exercises | Evaluate approaches to hypothesis testing | Communicate findings about likelihood ratio tests</t>
        </is>
      </c>
      <c r="L149" s="3" t="inlineStr">
        <is>
          <t>sampling distributions | point estimation | maximum likelihood | confidence intervals | hypothesis testing | likelihood ratio tests | Bayesian inference | linear models</t>
        </is>
      </c>
    </row>
    <row r="150">
      <c r="A150" s="6" t="inlineStr">
        <is>
          <t>CAS MA 385</t>
        </is>
      </c>
      <c r="B150" s="6" t="inlineStr">
        <is>
          <t>MA</t>
        </is>
      </c>
      <c r="C150" s="6" t="inlineStr">
        <is>
          <t>Stochastic Processes</t>
        </is>
      </c>
      <c r="D150" s="6" t="inlineStr">
        <is>
          <t>Mathematics</t>
        </is>
      </c>
      <c r="E150" s="6" t="inlineStr">
        <is>
          <t>Elective</t>
        </is>
      </c>
      <c r="F150" s="6" t="n">
        <v>300</v>
      </c>
      <c r="G150" s="6" t="n">
        <v>4</v>
      </c>
      <c r="H150" s="6" t="inlineStr"/>
      <c r="I150" s="3" t="inlineStr">
        <is>
          <t>Fully synthetic course (not a real BU offering)</t>
        </is>
      </c>
      <c r="J150" s="3" t="inlineStr">
        <is>
          <t>Stochastic Processes is an advanced course in mathematics. It covers Markov chains, Poisson processes, random walks and continuous-time Markov chains, and builds toward queueing models and martingales. Students work through problem sets and proofs, with later units on Brownian motion and simulation.</t>
        </is>
      </c>
      <c r="K150" s="3" t="inlineStr">
        <is>
          <t>Explain the core ideas of Markov chains | Apply Poisson processes to solve standard problems | Analyze problems involving random walks | Use continuous-time Markov chains in practical exercises | Evaluate approaches to queueing models | Communicate findings about martingales</t>
        </is>
      </c>
      <c r="L150" s="3" t="inlineStr">
        <is>
          <t>Markov chains | Poisson processes | random walks | continuous-time Markov chains | queueing models | martingales | Brownian motion | simulation</t>
        </is>
      </c>
    </row>
    <row r="151">
      <c r="A151" s="6" t="inlineStr">
        <is>
          <t>CAS MA 390</t>
        </is>
      </c>
      <c r="B151" s="6" t="inlineStr">
        <is>
          <t>MA</t>
        </is>
      </c>
      <c r="C151" s="6" t="inlineStr">
        <is>
          <t>Optimization</t>
        </is>
      </c>
      <c r="D151" s="6" t="inlineStr">
        <is>
          <t>Mathematics</t>
        </is>
      </c>
      <c r="E151" s="6" t="inlineStr">
        <is>
          <t>Elective</t>
        </is>
      </c>
      <c r="F151" s="6" t="n">
        <v>300</v>
      </c>
      <c r="G151" s="6" t="n">
        <v>4</v>
      </c>
      <c r="H151" s="6" t="inlineStr"/>
      <c r="I151" s="3" t="inlineStr">
        <is>
          <t>Fully synthetic course (not a real BU offering)</t>
        </is>
      </c>
      <c r="J151" s="3" t="inlineStr">
        <is>
          <t>Optimization is an advanced course in mathematics. It covers linear programming, simplex method, duality and integer programming, and builds toward network optimization and nonlinear optimization. Students work through problem sets and proofs, with later units on convexity and optimization software.</t>
        </is>
      </c>
      <c r="K151" s="3" t="inlineStr">
        <is>
          <t>Explain the core ideas of linear programming | Apply simplex method to solve standard problems | Analyze problems involving duality | Use integer programming in practical exercises | Evaluate approaches to network optimization | Communicate findings about nonlinear optimization</t>
        </is>
      </c>
      <c r="L151" s="3" t="inlineStr">
        <is>
          <t>linear programming | simplex method | duality | integer programming | network optimization | nonlinear optimization | convexity | optimization software</t>
        </is>
      </c>
    </row>
  </sheetData>
  <autoFilter ref="A1:L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31.5" customWidth="1" min="2" max="2"/>
    <col width="34.2" customWidth="1" min="3" max="3"/>
    <col width="10" customWidth="1" min="4" max="4"/>
    <col width="46.8" customWidth="1" min="5" max="5"/>
    <col width="10.8" customWidth="1" min="6" max="6"/>
    <col width="45" customWidth="1" min="7" max="7"/>
    <col width="80" customWidth="1" min="8" max="8"/>
  </cols>
  <sheetData>
    <row r="1">
      <c r="A1" s="5" t="inlineStr">
        <is>
          <t>School code</t>
        </is>
      </c>
      <c r="B1" s="5" t="inlineStr">
        <is>
          <t>Name</t>
        </is>
      </c>
      <c r="C1" s="5" t="inlineStr">
        <is>
          <t>Type</t>
        </is>
      </c>
      <c r="D1" s="5" t="inlineStr">
        <is>
          <t>Calendar</t>
        </is>
      </c>
      <c r="E1" s="5" t="inlineStr">
        <is>
          <t>Accreditation</t>
        </is>
      </c>
      <c r="F1" s="5" t="inlineStr">
        <is>
          <t>Location</t>
        </is>
      </c>
      <c r="G1" s="5" t="inlineStr">
        <is>
          <t>Role</t>
        </is>
      </c>
      <c r="H1" s="5" t="inlineStr">
        <is>
          <t>Note</t>
        </is>
      </c>
    </row>
    <row r="2">
      <c r="A2" s="6" t="inlineStr">
        <is>
          <t>NEU</t>
        </is>
      </c>
      <c r="B2" s="6" t="inlineStr">
        <is>
          <t>Northeastern University</t>
        </is>
      </c>
      <c r="C2" s="6" t="inlineStr">
        <is>
          <t>Private research university (Boston)</t>
        </is>
      </c>
      <c r="D2" s="6" t="inlineStr">
        <is>
          <t>Semester</t>
        </is>
      </c>
      <c r="E2" s="6" t="inlineStr">
        <is>
          <t>Regionally accredited</t>
        </is>
      </c>
      <c r="F2" s="6" t="inlineStr">
        <is>
          <t>Boston, MA</t>
        </is>
      </c>
      <c r="G2" s="6" t="inlineStr">
        <is>
          <t>Primary source school (hackathon data)</t>
        </is>
      </c>
      <c r="H2" s="3" t="inlineStr">
        <is>
          <t>Real institution. Course codes/titles/credits from its public catalog via the hackathon workbook. Student records, grades and syllabi are synthetic and were NOT issued by Northeastern.</t>
        </is>
      </c>
    </row>
    <row r="3">
      <c r="A3" s="6" t="inlineStr">
        <is>
          <t>NYU</t>
        </is>
      </c>
      <c r="B3" s="6" t="inlineStr">
        <is>
          <t>New York University</t>
        </is>
      </c>
      <c r="C3" s="6" t="inlineStr">
        <is>
          <t>Private research university (New York)</t>
        </is>
      </c>
      <c r="D3" s="6" t="inlineStr">
        <is>
          <t>Semester</t>
        </is>
      </c>
      <c r="E3" s="6" t="inlineStr">
        <is>
          <t>Regionally accredited</t>
        </is>
      </c>
      <c r="F3" s="6" t="inlineStr">
        <is>
          <t>New York, NY</t>
        </is>
      </c>
      <c r="G3" s="6" t="inlineStr">
        <is>
          <t>Primary source school (hackathon data)</t>
        </is>
      </c>
      <c r="H3" s="3" t="inlineStr">
        <is>
          <t>Real institution. Course codes/titles/credits from its public catalog via the hackathon workbook. Student records, grades and syllabi are synthetic and were NOT issued by NYU.</t>
        </is>
      </c>
    </row>
    <row r="4">
      <c r="A4" s="6" t="inlineStr">
        <is>
          <t>PSC</t>
        </is>
      </c>
      <c r="B4" s="6" t="inlineStr">
        <is>
          <t>Pinecrest State College (fictional)</t>
        </is>
      </c>
      <c r="C4" s="6" t="inlineStr">
        <is>
          <t>Fictional four-year public college</t>
        </is>
      </c>
      <c r="D4" s="6" t="inlineStr">
        <is>
          <t>Quarter</t>
        </is>
      </c>
      <c r="E4" s="6" t="inlineStr">
        <is>
          <t>Regionally accredited</t>
        </is>
      </c>
      <c r="F4" s="6" t="inlineStr">
        <is>
          <t>Fictional</t>
        </is>
      </c>
      <c r="G4" s="3" t="inlineStr">
        <is>
          <t>Test helper: quarter-system conversion (NU and NYU use semesters)</t>
        </is>
      </c>
      <c r="H4" s="3" t="inlineStr">
        <is>
          <t>Fictional. Used for one summer course only.</t>
        </is>
      </c>
    </row>
    <row r="5">
      <c r="A5" s="6" t="inlineStr">
        <is>
          <t>SOI</t>
        </is>
      </c>
      <c r="B5" s="6" t="inlineStr">
        <is>
          <t>Summit Online Institute (fictional)</t>
        </is>
      </c>
      <c r="C5" s="6" t="inlineStr">
        <is>
          <t>Fictional online institute</t>
        </is>
      </c>
      <c r="D5" s="6" t="inlineStr">
        <is>
          <t>Semester</t>
        </is>
      </c>
      <c r="E5" s="3" t="inlineStr">
        <is>
          <t>Not regionally accredited (national accreditor only)</t>
        </is>
      </c>
      <c r="F5" s="6" t="inlineStr">
        <is>
          <t>Online</t>
        </is>
      </c>
      <c r="G5" s="6" t="inlineStr">
        <is>
          <t>Test helper: accreditation rule</t>
        </is>
      </c>
      <c r="H5" s="3" t="inlineStr">
        <is>
          <t>Fictional. Used for the non-accredited-school test only.</t>
        </is>
      </c>
    </row>
  </sheetData>
  <autoFilter ref="A1:H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5"/>
  <sheetViews>
    <sheetView workbookViewId="0">
      <pane ySplit="1" topLeftCell="A2" activePane="bottomLeft" state="frozen"/>
      <selection pane="bottomLeft" activeCell="A1" sqref="A1"/>
    </sheetView>
  </sheetViews>
  <sheetFormatPr baseColWidth="8" defaultRowHeight="15"/>
  <cols>
    <col width="13.5" customWidth="1" min="1" max="1"/>
    <col width="10" customWidth="1" min="2" max="2"/>
    <col width="13" customWidth="1" min="3" max="3"/>
    <col width="40" customWidth="1" min="4" max="4"/>
    <col width="10" customWidth="1" min="5" max="5"/>
    <col width="10" customWidth="1" min="6" max="6"/>
    <col width="22" customWidth="1" min="7" max="7"/>
    <col width="14.4" customWidth="1" min="8" max="8"/>
    <col width="13" customWidth="1" min="9" max="9"/>
    <col width="10" customWidth="1" min="10" max="10"/>
    <col width="50" customWidth="1" min="11" max="11"/>
    <col width="70" customWidth="1" min="12" max="12"/>
    <col width="70" customWidth="1" min="13" max="13"/>
    <col width="60" customWidth="1" min="14" max="14"/>
    <col width="16" customWidth="1" min="15" max="15"/>
    <col width="12" customWidth="1" min="16" max="16"/>
    <col width="23.4" customWidth="1" min="17" max="17"/>
  </cols>
  <sheetData>
    <row r="1">
      <c r="A1" s="5" t="inlineStr">
        <is>
          <t>Ext ID</t>
        </is>
      </c>
      <c r="B1" s="5" t="inlineStr">
        <is>
          <t>School</t>
        </is>
      </c>
      <c r="C1" s="5" t="inlineStr">
        <is>
          <t>Course code</t>
        </is>
      </c>
      <c r="D1" s="5" t="inlineStr">
        <is>
          <t>Title</t>
        </is>
      </c>
      <c r="E1" s="5" t="inlineStr">
        <is>
          <t>Credits</t>
        </is>
      </c>
      <c r="F1" s="5" t="inlineStr">
        <is>
          <t>Calendar</t>
        </is>
      </c>
      <c r="G1" s="5" t="inlineStr">
        <is>
          <t>Units if transferred</t>
        </is>
      </c>
      <c r="H1" s="5" t="inlineStr">
        <is>
          <t>Program area</t>
        </is>
      </c>
      <c r="I1" s="5" t="inlineStr">
        <is>
          <t>Course type</t>
        </is>
      </c>
      <c r="J1" s="5" t="inlineStr">
        <is>
          <t>Level</t>
        </is>
      </c>
      <c r="K1" s="5" t="inlineStr">
        <is>
          <t>Source</t>
        </is>
      </c>
      <c r="L1" s="5" t="inlineStr">
        <is>
          <t>Description</t>
        </is>
      </c>
      <c r="M1" s="5" t="inlineStr">
        <is>
          <t>Learning outcomes</t>
        </is>
      </c>
      <c r="N1" s="5" t="inlineStr">
        <is>
          <t>Topics</t>
        </is>
      </c>
      <c r="O1" s="8" t="inlineStr">
        <is>
          <t>gt_counterpart</t>
        </is>
      </c>
      <c r="P1" s="8" t="inlineStr">
        <is>
          <t>gt_overlap</t>
        </is>
      </c>
      <c r="Q1" s="8" t="inlineStr">
        <is>
          <t>gt_tier</t>
        </is>
      </c>
    </row>
    <row r="2">
      <c r="A2" s="6" t="inlineStr">
        <is>
          <t>NEU|CS 2000</t>
        </is>
      </c>
      <c r="B2" s="6" t="inlineStr">
        <is>
          <t>NEU</t>
        </is>
      </c>
      <c r="C2" s="6" t="inlineStr">
        <is>
          <t>CS 2000</t>
        </is>
      </c>
      <c r="D2" s="3" t="inlineStr">
        <is>
          <t>Introduction to Program Design and Implementation</t>
        </is>
      </c>
      <c r="E2" s="6" t="n">
        <v>5</v>
      </c>
      <c r="F2" s="6" t="inlineStr">
        <is>
          <t>Semester</t>
        </is>
      </c>
      <c r="G2" s="6" t="n">
        <v>5</v>
      </c>
      <c r="H2" s="6" t="inlineStr">
        <is>
          <t>Computer Science</t>
        </is>
      </c>
      <c r="I2" s="6" t="inlineStr">
        <is>
          <t>Academic</t>
        </is>
      </c>
      <c r="J2" s="6" t="n">
        <v>200</v>
      </c>
      <c r="K2" s="3" t="inlineStr">
        <is>
          <t>NU catalog course (code/title/credits from hackathon workbook); description, outcomes and topics SYNTHETIC</t>
        </is>
      </c>
      <c r="L2" s="3" t="inlineStr">
        <is>
          <t>Introduction to Program Design and Implementation. Topics include recursion, debugging and testing, file input and output, functions and parameters and lists and strings; later weeks address conditionals and loops, problem decomposition and testing strategies.</t>
        </is>
      </c>
      <c r="M2" s="3" t="inlineStr">
        <is>
          <t>Explain the core ideas of recursion | Apply debugging and testing to solve standard problems | Analyze problems involving file input and output | Use functions and parameters in practical exercises | Evaluate approaches to lists and strings | Communicate findings about conditionals and loops</t>
        </is>
      </c>
      <c r="N2" s="3" t="inlineStr">
        <is>
          <t>recursion | debugging and testing | file input and output | functions and parameters | lists and strings | conditionals and loops | problem decomposition | testing strategies</t>
        </is>
      </c>
      <c r="O2" s="6" t="inlineStr">
        <is>
          <t>CAS CS 111</t>
        </is>
      </c>
      <c r="P2" s="6" t="n">
        <v>0.875</v>
      </c>
      <c r="Q2" s="6" t="inlineStr">
        <is>
          <t>Equivalent (&gt;=80%)</t>
        </is>
      </c>
    </row>
    <row r="3">
      <c r="A3" s="6" t="inlineStr">
        <is>
          <t>NEU|CS 2100</t>
        </is>
      </c>
      <c r="B3" s="6" t="inlineStr">
        <is>
          <t>NEU</t>
        </is>
      </c>
      <c r="C3" s="6" t="inlineStr">
        <is>
          <t>CS 2100</t>
        </is>
      </c>
      <c r="D3" s="6" t="inlineStr">
        <is>
          <t>Program Design and Implementation 1</t>
        </is>
      </c>
      <c r="E3" s="6" t="n">
        <v>5</v>
      </c>
      <c r="F3" s="6" t="inlineStr">
        <is>
          <t>Semester</t>
        </is>
      </c>
      <c r="G3" s="6" t="n">
        <v>5</v>
      </c>
      <c r="H3" s="6" t="inlineStr">
        <is>
          <t>Computer Science</t>
        </is>
      </c>
      <c r="I3" s="6" t="inlineStr">
        <is>
          <t>Academic</t>
        </is>
      </c>
      <c r="J3" s="6" t="n">
        <v>200</v>
      </c>
      <c r="K3" s="3" t="inlineStr">
        <is>
          <t>NU catalog course (code/title/credits from hackathon workbook); description, outcomes and topics SYNTHETIC</t>
        </is>
      </c>
      <c r="L3" s="3" t="inlineStr">
        <is>
          <t>Program Design and Implementation 1. Topics include discrete probability, algorithm efficiency, language paradigms, object-oriented programming and stacks and queues; later weeks address binary trees, sorting algorithms and cryptography basics.</t>
        </is>
      </c>
      <c r="M3" s="3" t="inlineStr">
        <is>
          <t>Explain the core ideas of discrete probability | Apply algorithm efficiency to solve standard problems | Analyze problems involving language paradigms | Use object-oriented programming in practical exercises | Evaluate approaches to stacks and queues | Communicate findings about binary trees</t>
        </is>
      </c>
      <c r="N3" s="3" t="inlineStr">
        <is>
          <t>discrete probability | algorithm efficiency | language paradigms | object-oriented programming | stacks and queues | binary trees | sorting algorithms | cryptography basics</t>
        </is>
      </c>
      <c r="O3" s="6" t="inlineStr">
        <is>
          <t>CAS CS 112</t>
        </is>
      </c>
      <c r="P3" s="6" t="n">
        <v>0.625</v>
      </c>
      <c r="Q3" s="6" t="inlineStr">
        <is>
          <t>Evaluator decides (50-79%)</t>
        </is>
      </c>
    </row>
    <row r="4">
      <c r="A4" s="6" t="inlineStr">
        <is>
          <t>NEU|CS 3100</t>
        </is>
      </c>
      <c r="B4" s="6" t="inlineStr">
        <is>
          <t>NEU</t>
        </is>
      </c>
      <c r="C4" s="6" t="inlineStr">
        <is>
          <t>CS 3100</t>
        </is>
      </c>
      <c r="D4" s="6" t="inlineStr">
        <is>
          <t>Program Design and Implementation 2</t>
        </is>
      </c>
      <c r="E4" s="6" t="n">
        <v>5</v>
      </c>
      <c r="F4" s="6" t="inlineStr">
        <is>
          <t>Semester</t>
        </is>
      </c>
      <c r="G4" s="6" t="n">
        <v>5</v>
      </c>
      <c r="H4" s="6" t="inlineStr">
        <is>
          <t>Computer Science</t>
        </is>
      </c>
      <c r="I4" s="6" t="inlineStr">
        <is>
          <t>Academic</t>
        </is>
      </c>
      <c r="J4" s="6" t="n">
        <v>300</v>
      </c>
      <c r="K4" s="3" t="inlineStr">
        <is>
          <t>NU catalog course (code/title/credits from hackathon workbook); description, outcomes and topics SYNTHETIC</t>
        </is>
      </c>
      <c r="L4" s="3" t="inlineStr">
        <is>
          <t>Program Design and Implementation 2. Topics include cloud security, inheritance, UML modeling, runtime environments and refactoring; later weeks address modular arithmetic, classes and interfaces and unit testing.</t>
        </is>
      </c>
      <c r="M4" s="3" t="inlineStr">
        <is>
          <t>Explain the core ideas of cloud security | Apply inheritance to solve standard problems | Analyze problems involving UML modeling | Use runtime environments in practical exercises | Evaluate approaches to refactoring | Communicate findings about modular arithmetic</t>
        </is>
      </c>
      <c r="N4" s="3" t="inlineStr">
        <is>
          <t>cloud security | inheritance | UML modeling | runtime environments | refactoring | modular arithmetic | classes and interfaces | unit testing</t>
        </is>
      </c>
      <c r="O4" s="6" t="inlineStr">
        <is>
          <t>CAS CS 211</t>
        </is>
      </c>
      <c r="P4" s="6" t="n">
        <v>0.625</v>
      </c>
      <c r="Q4" s="6" t="inlineStr">
        <is>
          <t>Evaluator decides (50-79%)</t>
        </is>
      </c>
    </row>
    <row r="5">
      <c r="A5" s="6" t="inlineStr">
        <is>
          <t>NEU|CS 1800</t>
        </is>
      </c>
      <c r="B5" s="6" t="inlineStr">
        <is>
          <t>NEU</t>
        </is>
      </c>
      <c r="C5" s="6" t="inlineStr">
        <is>
          <t>CS 1800</t>
        </is>
      </c>
      <c r="D5" s="6" t="inlineStr">
        <is>
          <t>Discrete Structures</t>
        </is>
      </c>
      <c r="E5" s="6" t="n">
        <v>4</v>
      </c>
      <c r="F5" s="6" t="inlineStr">
        <is>
          <t>Semester</t>
        </is>
      </c>
      <c r="G5" s="6" t="n">
        <v>4</v>
      </c>
      <c r="H5" s="6" t="inlineStr">
        <is>
          <t>Computer Science</t>
        </is>
      </c>
      <c r="I5" s="6" t="inlineStr">
        <is>
          <t>Academic</t>
        </is>
      </c>
      <c r="J5" s="6" t="n">
        <v>100</v>
      </c>
      <c r="K5" s="3" t="inlineStr">
        <is>
          <t>NU catalog course (code/title/credits from hackathon workbook); description, outcomes and topics SYNTHETIC</t>
        </is>
      </c>
      <c r="L5" s="3" t="inlineStr">
        <is>
          <t>Discrete Structures. Topics include counting principles, propositional logic, proof techniques, graph basics and discrete probability; later weeks address sets and functions, mathematical induction and linking and loading.</t>
        </is>
      </c>
      <c r="M5" s="3" t="inlineStr">
        <is>
          <t>Explain the core ideas of counting principles | Apply propositional logic to solve standard problems | Analyze problems involving proof techniques | Use graph basics in practical exercises | Evaluate approaches to discrete probability | Communicate findings about sets and functions</t>
        </is>
      </c>
      <c r="N5" s="3" t="inlineStr">
        <is>
          <t>counting principles | propositional logic | proof techniques | graph basics | discrete probability | sets and functions | mathematical induction | linking and loading</t>
        </is>
      </c>
      <c r="O5" s="6" t="inlineStr">
        <is>
          <t>CAS CS 131</t>
        </is>
      </c>
      <c r="P5" s="6" t="n">
        <v>0.875</v>
      </c>
      <c r="Q5" s="6" t="inlineStr">
        <is>
          <t>Equivalent (&gt;=80%)</t>
        </is>
      </c>
    </row>
    <row r="6">
      <c r="A6" s="6" t="inlineStr">
        <is>
          <t>NEU|CS 2700</t>
        </is>
      </c>
      <c r="B6" s="6" t="inlineStr">
        <is>
          <t>NEU</t>
        </is>
      </c>
      <c r="C6" s="6" t="inlineStr">
        <is>
          <t>CS 2700</t>
        </is>
      </c>
      <c r="D6" s="6" t="inlineStr">
        <is>
          <t>Data Structures and Analysis</t>
        </is>
      </c>
      <c r="E6" s="6" t="n">
        <v>5</v>
      </c>
      <c r="F6" s="6" t="inlineStr">
        <is>
          <t>Semester</t>
        </is>
      </c>
      <c r="G6" s="6" t="n">
        <v>5</v>
      </c>
      <c r="H6" s="6" t="inlineStr">
        <is>
          <t>Computer Science</t>
        </is>
      </c>
      <c r="I6" s="6" t="inlineStr">
        <is>
          <t>Academic</t>
        </is>
      </c>
      <c r="J6" s="6" t="n">
        <v>200</v>
      </c>
      <c r="K6" s="3" t="inlineStr">
        <is>
          <t>NU catalog course (code/title/credits from hackathon workbook); description, outcomes and topics SYNTHETIC</t>
        </is>
      </c>
      <c r="L6" s="3" t="inlineStr">
        <is>
          <t>Data Structures and Analysis. Topics include linked lists, data visualization, hash tables, algorithm efficiency and binary trees; later weeks address network security, object-oriented programming and sorting algorithms.</t>
        </is>
      </c>
      <c r="M6" s="3" t="inlineStr">
        <is>
          <t>Explain the core ideas of linked lists | Apply data visualization to solve standard problems | Analyze problems involving hash tables | Use algorithm efficiency in practical exercises | Evaluate approaches to binary trees | Communicate findings about network security</t>
        </is>
      </c>
      <c r="N6" s="3" t="inlineStr">
        <is>
          <t>linked lists | data visualization | hash tables | algorithm efficiency | binary trees | network security | object-oriented programming | sorting algorithms</t>
        </is>
      </c>
      <c r="O6" s="6" t="inlineStr">
        <is>
          <t>CAS CS 112</t>
        </is>
      </c>
      <c r="P6" s="6" t="n">
        <v>0.75</v>
      </c>
      <c r="Q6" s="6" t="inlineStr">
        <is>
          <t>Evaluator decides (50-79%)</t>
        </is>
      </c>
    </row>
    <row r="7">
      <c r="A7" s="6" t="inlineStr">
        <is>
          <t>NEU|CS 3000</t>
        </is>
      </c>
      <c r="B7" s="6" t="inlineStr">
        <is>
          <t>NEU</t>
        </is>
      </c>
      <c r="C7" s="6" t="inlineStr">
        <is>
          <t>CS 3000</t>
        </is>
      </c>
      <c r="D7" s="6" t="inlineStr">
        <is>
          <t>Algorithms and Data</t>
        </is>
      </c>
      <c r="E7" s="6" t="n">
        <v>4</v>
      </c>
      <c r="F7" s="6" t="inlineStr">
        <is>
          <t>Semester</t>
        </is>
      </c>
      <c r="G7" s="6" t="n">
        <v>4</v>
      </c>
      <c r="H7" s="6" t="inlineStr">
        <is>
          <t>Computer Science</t>
        </is>
      </c>
      <c r="I7" s="6" t="inlineStr">
        <is>
          <t>Academic</t>
        </is>
      </c>
      <c r="J7" s="6" t="n">
        <v>300</v>
      </c>
      <c r="K7" s="3" t="inlineStr">
        <is>
          <t>NU catalog course (code/title/credits from hackathon workbook); description, outcomes and topics SYNTHETIC</t>
        </is>
      </c>
      <c r="L7" s="3" t="inlineStr">
        <is>
          <t>Algorithms and Data. Topics include asymptotic analysis, greedy algorithms, dynamic programming, shortest paths and divide and conquer; later weeks address graph algorithms, network flow and NP-completeness.</t>
        </is>
      </c>
      <c r="M7" s="3" t="inlineStr">
        <is>
          <t>Explain the core ideas of asymptotic analysis | Apply greedy algorithms to solve standard problems | Analyze problems involving dynamic programming | Use shortest paths in practical exercises | Evaluate approaches to divide and conquer | Communicate findings about graph algorithms</t>
        </is>
      </c>
      <c r="N7" s="3" t="inlineStr">
        <is>
          <t>asymptotic analysis | greedy algorithms | dynamic programming | shortest paths | divide and conquer | graph algorithms | network flow | NP-completeness</t>
        </is>
      </c>
      <c r="O7" s="6" t="inlineStr">
        <is>
          <t>CAS CS 330</t>
        </is>
      </c>
      <c r="P7" s="6" t="n">
        <v>1</v>
      </c>
      <c r="Q7" s="6" t="inlineStr">
        <is>
          <t>Equivalent (&gt;=80%)</t>
        </is>
      </c>
    </row>
    <row r="8">
      <c r="A8" s="6" t="inlineStr">
        <is>
          <t>NEU|CS 3650</t>
        </is>
      </c>
      <c r="B8" s="6" t="inlineStr">
        <is>
          <t>NEU</t>
        </is>
      </c>
      <c r="C8" s="6" t="inlineStr">
        <is>
          <t>CS 3650</t>
        </is>
      </c>
      <c r="D8" s="6" t="inlineStr">
        <is>
          <t>Computer Systems</t>
        </is>
      </c>
      <c r="E8" s="6" t="n">
        <v>4</v>
      </c>
      <c r="F8" s="6" t="inlineStr">
        <is>
          <t>Semester</t>
        </is>
      </c>
      <c r="G8" s="6" t="n">
        <v>4</v>
      </c>
      <c r="H8" s="6" t="inlineStr">
        <is>
          <t>Computer Science</t>
        </is>
      </c>
      <c r="I8" s="6" t="inlineStr">
        <is>
          <t>Academic</t>
        </is>
      </c>
      <c r="J8" s="6" t="n">
        <v>300</v>
      </c>
      <c r="K8" s="3" t="inlineStr">
        <is>
          <t>NU catalog course (code/title/credits from hackathon workbook); description, outcomes and topics SYNTHETIC</t>
        </is>
      </c>
      <c r="L8" s="3" t="inlineStr">
        <is>
          <t>Computer Systems. Topics include virtual memory, assembly language, linking and loading, memory hierarchy and binary data representation; later weeks address caches, processes and C programming.</t>
        </is>
      </c>
      <c r="M8" s="3" t="inlineStr">
        <is>
          <t>Explain the core ideas of virtual memory | Apply assembly language to solve standard problems | Analyze problems involving linking and loading | Use memory hierarchy in practical exercises | Evaluate approaches to binary data representation | Communicate findings about caches</t>
        </is>
      </c>
      <c r="N8" s="3" t="inlineStr">
        <is>
          <t>virtual memory | assembly language | linking and loading | memory hierarchy | binary data representation | caches | processes | C programming</t>
        </is>
      </c>
      <c r="O8" s="6" t="inlineStr">
        <is>
          <t>CAS CS 210</t>
        </is>
      </c>
      <c r="P8" s="6" t="n">
        <v>1</v>
      </c>
      <c r="Q8" s="6" t="inlineStr">
        <is>
          <t>Equivalent (&gt;=80%)</t>
        </is>
      </c>
    </row>
    <row r="9">
      <c r="A9" s="6" t="inlineStr">
        <is>
          <t>NEU|CS 3800</t>
        </is>
      </c>
      <c r="B9" s="6" t="inlineStr">
        <is>
          <t>NEU</t>
        </is>
      </c>
      <c r="C9" s="6" t="inlineStr">
        <is>
          <t>CS 3800</t>
        </is>
      </c>
      <c r="D9" s="6" t="inlineStr">
        <is>
          <t>Theory of Computation</t>
        </is>
      </c>
      <c r="E9" s="6" t="n">
        <v>4</v>
      </c>
      <c r="F9" s="6" t="inlineStr">
        <is>
          <t>Semester</t>
        </is>
      </c>
      <c r="G9" s="6" t="n">
        <v>4</v>
      </c>
      <c r="H9" s="6" t="inlineStr">
        <is>
          <t>Computer Science</t>
        </is>
      </c>
      <c r="I9" s="6" t="inlineStr">
        <is>
          <t>Academic</t>
        </is>
      </c>
      <c r="J9" s="6" t="n">
        <v>300</v>
      </c>
      <c r="K9" s="3" t="inlineStr">
        <is>
          <t>NU catalog course (code/title/credits from hackathon workbook); description, outcomes and topics SYNTHETIC</t>
        </is>
      </c>
      <c r="L9" s="3" t="inlineStr">
        <is>
          <t>Theory of Computation. Topics include complexity classes, Turing machines, decidability, reductions and finite automata; later weeks address regular languages, pushdown automata and context-free grammars.</t>
        </is>
      </c>
      <c r="M9" s="3" t="inlineStr">
        <is>
          <t>Explain the core ideas of complexity classes | Apply Turing machines to solve standard problems | Analyze problems involving decidability | Use reductions in practical exercises | Evaluate approaches to finite automata | Communicate findings about regular languages</t>
        </is>
      </c>
      <c r="N9" s="3" t="inlineStr">
        <is>
          <t>complexity classes | Turing machines | decidability | reductions | finite automata | regular languages | pushdown automata | context-free grammars</t>
        </is>
      </c>
      <c r="O9" s="6" t="inlineStr">
        <is>
          <t>CAS CS 332</t>
        </is>
      </c>
      <c r="P9" s="6" t="n">
        <v>1</v>
      </c>
      <c r="Q9" s="6" t="inlineStr">
        <is>
          <t>Equivalent (&gt;=80%)</t>
        </is>
      </c>
    </row>
    <row r="10">
      <c r="A10" s="6" t="inlineStr">
        <is>
          <t>NEU|CS 4400</t>
        </is>
      </c>
      <c r="B10" s="6" t="inlineStr">
        <is>
          <t>NEU</t>
        </is>
      </c>
      <c r="C10" s="6" t="inlineStr">
        <is>
          <t>CS 4400</t>
        </is>
      </c>
      <c r="D10" s="6" t="inlineStr">
        <is>
          <t>Programming Languages</t>
        </is>
      </c>
      <c r="E10" s="6" t="n">
        <v>4</v>
      </c>
      <c r="F10" s="6" t="inlineStr">
        <is>
          <t>Semester</t>
        </is>
      </c>
      <c r="G10" s="6" t="n">
        <v>4</v>
      </c>
      <c r="H10" s="6" t="inlineStr">
        <is>
          <t>Computer Science</t>
        </is>
      </c>
      <c r="I10" s="6" t="inlineStr">
        <is>
          <t>Academic</t>
        </is>
      </c>
      <c r="J10" s="6" t="n">
        <v>300</v>
      </c>
      <c r="K10" s="3" t="inlineStr">
        <is>
          <t>NU catalog course (code/title/credits from hackathon workbook); description, outcomes and topics SYNTHETIC</t>
        </is>
      </c>
      <c r="L10" s="3" t="inlineStr">
        <is>
          <t>Programming Languages. Topics include scoping and binding, parsing, language paradigms, semantics and type systems; later weeks address functional programming, syntax and grammars and interpreters.</t>
        </is>
      </c>
      <c r="M10" s="3" t="inlineStr">
        <is>
          <t>Explain the core ideas of scoping and binding | Apply parsing to solve standard problems | Analyze problems involving language paradigms | Use semantics in practical exercises | Evaluate approaches to type systems | Communicate findings about functional programming</t>
        </is>
      </c>
      <c r="N10" s="3" t="inlineStr">
        <is>
          <t>scoping and binding | parsing | language paradigms | semantics | type systems | functional programming | syntax and grammars | interpreters</t>
        </is>
      </c>
      <c r="O10" s="6" t="inlineStr">
        <is>
          <t>CAS CS 320</t>
        </is>
      </c>
      <c r="P10" s="6" t="n">
        <v>1</v>
      </c>
      <c r="Q10" s="6" t="inlineStr">
        <is>
          <t>Equivalent (&gt;=80%)</t>
        </is>
      </c>
    </row>
    <row r="11">
      <c r="A11" s="6" t="inlineStr">
        <is>
          <t>NEU|CS 2800</t>
        </is>
      </c>
      <c r="B11" s="6" t="inlineStr">
        <is>
          <t>NEU</t>
        </is>
      </c>
      <c r="C11" s="6" t="inlineStr">
        <is>
          <t>CS 2800</t>
        </is>
      </c>
      <c r="D11" s="6" t="inlineStr">
        <is>
          <t>Logic and Computation</t>
        </is>
      </c>
      <c r="E11" s="6" t="n">
        <v>4</v>
      </c>
      <c r="F11" s="6" t="inlineStr">
        <is>
          <t>Semester</t>
        </is>
      </c>
      <c r="G11" s="6" t="n">
        <v>4</v>
      </c>
      <c r="H11" s="6" t="inlineStr">
        <is>
          <t>Computer Science</t>
        </is>
      </c>
      <c r="I11" s="6" t="inlineStr">
        <is>
          <t>Academic</t>
        </is>
      </c>
      <c r="J11" s="6" t="n">
        <v>200</v>
      </c>
      <c r="K11" s="3" t="inlineStr">
        <is>
          <t>NU catalog course (code/title/credits from hackathon workbook); description, outcomes and topics SYNTHETIC</t>
        </is>
      </c>
      <c r="L11" s="3" t="inlineStr">
        <is>
          <t>Logic and Computation. Topics include counting principles, online privacy, mathematical induction, reductions and exploratory analysis; later weeks address simulation, proof techniques and discrete probability.</t>
        </is>
      </c>
      <c r="M11" s="3" t="inlineStr">
        <is>
          <t>Explain the core ideas of counting principles | Apply online privacy to solve standard problems | Analyze problems involving mathematical induction | Use reductions in practical exercises | Evaluate approaches to exploratory analysis | Communicate findings about simulation</t>
        </is>
      </c>
      <c r="N11" s="3" t="inlineStr">
        <is>
          <t>counting principles | online privacy | mathematical induction | reductions | exploratory analysis | simulation | proof techniques | discrete probability</t>
        </is>
      </c>
      <c r="O11" s="6" t="inlineStr">
        <is>
          <t>CAS CS 131</t>
        </is>
      </c>
      <c r="P11" s="6" t="n">
        <v>0.5</v>
      </c>
      <c r="Q11" s="6" t="inlineStr">
        <is>
          <t>Evaluator decides (50-79%)</t>
        </is>
      </c>
    </row>
    <row r="12">
      <c r="A12" s="6" t="inlineStr">
        <is>
          <t>NEU|DS 3000</t>
        </is>
      </c>
      <c r="B12" s="6" t="inlineStr">
        <is>
          <t>NEU</t>
        </is>
      </c>
      <c r="C12" s="6" t="inlineStr">
        <is>
          <t>DS 3000</t>
        </is>
      </c>
      <c r="D12" s="3" t="inlineStr">
        <is>
          <t>Mathematical Foundations of Artificial Intelligence</t>
        </is>
      </c>
      <c r="E12" s="6" t="n">
        <v>4</v>
      </c>
      <c r="F12" s="6" t="inlineStr">
        <is>
          <t>Semester</t>
        </is>
      </c>
      <c r="G12" s="6" t="n">
        <v>4</v>
      </c>
      <c r="H12" s="6" t="inlineStr">
        <is>
          <t>Computer Science</t>
        </is>
      </c>
      <c r="I12" s="6" t="inlineStr">
        <is>
          <t>Academic</t>
        </is>
      </c>
      <c r="J12" s="6" t="n">
        <v>300</v>
      </c>
      <c r="K12" s="3" t="inlineStr">
        <is>
          <t>NU catalog course (code/title/credits from hackathon workbook); description, outcomes and topics SYNTHETIC</t>
        </is>
      </c>
      <c r="L12" s="3" t="inlineStr">
        <is>
          <t>Mathematical Foundations of Artificial Intelligence. Topics include virtualization, CSS, inheritance, linear regression and context-free grammars; later weeks address neural networks, polynomials and model evaluation.</t>
        </is>
      </c>
      <c r="M12" s="3" t="inlineStr">
        <is>
          <t>Explain the core ideas of virtualization | Apply CSS to solve standard problems | Analyze problems involving inheritance | Use linear regression in practical exercises | Evaluate approaches to context-free grammars | Communicate findings about neural networks</t>
        </is>
      </c>
      <c r="N12" s="3" t="inlineStr">
        <is>
          <t>virtualization | CSS | inheritance | linear regression | context-free grammars | neural networks | polynomials | model evaluation</t>
        </is>
      </c>
      <c r="O12" s="6" t="inlineStr">
        <is>
          <t>CAS CS 240</t>
        </is>
      </c>
      <c r="P12" s="6" t="n">
        <v>0.375</v>
      </c>
      <c r="Q12" s="6" t="inlineStr">
        <is>
          <t>Elective (&lt;50%)</t>
        </is>
      </c>
    </row>
    <row r="13">
      <c r="A13" s="6" t="inlineStr">
        <is>
          <t>NEU|ECON 1116</t>
        </is>
      </c>
      <c r="B13" s="6" t="inlineStr">
        <is>
          <t>NEU</t>
        </is>
      </c>
      <c r="C13" s="6" t="inlineStr">
        <is>
          <t>ECON 1116</t>
        </is>
      </c>
      <c r="D13" s="6" t="inlineStr">
        <is>
          <t>Principles of Microeconomics</t>
        </is>
      </c>
      <c r="E13" s="6" t="n">
        <v>4</v>
      </c>
      <c r="F13" s="6" t="inlineStr">
        <is>
          <t>Semester</t>
        </is>
      </c>
      <c r="G13" s="6" t="n">
        <v>4</v>
      </c>
      <c r="H13" s="6" t="inlineStr">
        <is>
          <t>Economics</t>
        </is>
      </c>
      <c r="I13" s="6" t="inlineStr">
        <is>
          <t>Academic</t>
        </is>
      </c>
      <c r="J13" s="6" t="n">
        <v>100</v>
      </c>
      <c r="K13" s="3" t="inlineStr">
        <is>
          <t>NU catalog course (code/title/credits from hackathon workbook); description, outcomes and topics SYNTHETIC</t>
        </is>
      </c>
      <c r="L13" s="3" t="inlineStr">
        <is>
          <t>Principles of Microeconomics. Topics include monopoly, market failure, perfect competition, supply and demand and elasticity; later weeks address scarcity and opportunity cost, consumer choice and poverty measurement.</t>
        </is>
      </c>
      <c r="M13" s="3" t="inlineStr">
        <is>
          <t>Explain the core ideas of monopoly | Apply market failure to solve standard problems | Analyze problems involving perfect competition | Use supply and demand in practical exercises | Evaluate approaches to elasticity | Communicate findings about scarcity and opportunity cost</t>
        </is>
      </c>
      <c r="N13" s="3" t="inlineStr">
        <is>
          <t>monopoly | market failure | perfect competition | supply and demand | elasticity | scarcity and opportunity cost | consumer choice | poverty measurement</t>
        </is>
      </c>
      <c r="O13" s="6" t="inlineStr">
        <is>
          <t>CAS EC 101</t>
        </is>
      </c>
      <c r="P13" s="6" t="n">
        <v>0.875</v>
      </c>
      <c r="Q13" s="6" t="inlineStr">
        <is>
          <t>Equivalent (&gt;=80%)</t>
        </is>
      </c>
    </row>
    <row r="14">
      <c r="A14" s="6" t="inlineStr">
        <is>
          <t>NEU|ECON 1115</t>
        </is>
      </c>
      <c r="B14" s="6" t="inlineStr">
        <is>
          <t>NEU</t>
        </is>
      </c>
      <c r="C14" s="6" t="inlineStr">
        <is>
          <t>ECON 1115</t>
        </is>
      </c>
      <c r="D14" s="6" t="inlineStr">
        <is>
          <t>Principles of Macroeconomics</t>
        </is>
      </c>
      <c r="E14" s="6" t="n">
        <v>4</v>
      </c>
      <c r="F14" s="6" t="inlineStr">
        <is>
          <t>Semester</t>
        </is>
      </c>
      <c r="G14" s="6" t="n">
        <v>4</v>
      </c>
      <c r="H14" s="6" t="inlineStr">
        <is>
          <t>Economics</t>
        </is>
      </c>
      <c r="I14" s="6" t="inlineStr">
        <is>
          <t>Academic</t>
        </is>
      </c>
      <c r="J14" s="6" t="n">
        <v>100</v>
      </c>
      <c r="K14" s="3" t="inlineStr">
        <is>
          <t>NU catalog course (code/title/credits from hackathon workbook); description, outcomes and topics SYNTHETIC</t>
        </is>
      </c>
      <c r="L14" s="3" t="inlineStr">
        <is>
          <t>Principles of Macroeconomics. Topics include fiscal policy, inflation, unemployment, GDP measurement and monetary policy; later weeks address aggregate demand and supply, economic growth and international trade basics.</t>
        </is>
      </c>
      <c r="M14" s="3" t="inlineStr">
        <is>
          <t>Explain the core ideas of fiscal policy | Apply inflation to solve standard problems | Analyze problems involving unemployment | Use GDP measurement in practical exercises | Evaluate approaches to monetary policy | Communicate findings about aggregate demand and supply</t>
        </is>
      </c>
      <c r="N14" s="3" t="inlineStr">
        <is>
          <t>fiscal policy | inflation | unemployment | GDP measurement | monetary policy | aggregate demand and supply | economic growth | international trade basics</t>
        </is>
      </c>
      <c r="O14" s="6" t="inlineStr">
        <is>
          <t>CAS EC 102</t>
        </is>
      </c>
      <c r="P14" s="6" t="n">
        <v>1</v>
      </c>
      <c r="Q14" s="6" t="inlineStr">
        <is>
          <t>Equivalent (&gt;=80%)</t>
        </is>
      </c>
    </row>
    <row r="15">
      <c r="A15" s="6" t="inlineStr">
        <is>
          <t>NEU|ECON 2316</t>
        </is>
      </c>
      <c r="B15" s="6" t="inlineStr">
        <is>
          <t>NEU</t>
        </is>
      </c>
      <c r="C15" s="6" t="inlineStr">
        <is>
          <t>ECON 2316</t>
        </is>
      </c>
      <c r="D15" s="6" t="inlineStr">
        <is>
          <t>Microeconomic Theory</t>
        </is>
      </c>
      <c r="E15" s="6" t="n">
        <v>4</v>
      </c>
      <c r="F15" s="6" t="inlineStr">
        <is>
          <t>Semester</t>
        </is>
      </c>
      <c r="G15" s="6" t="n">
        <v>4</v>
      </c>
      <c r="H15" s="6" t="inlineStr">
        <is>
          <t>Economics</t>
        </is>
      </c>
      <c r="I15" s="6" t="inlineStr">
        <is>
          <t>Academic</t>
        </is>
      </c>
      <c r="J15" s="6" t="n">
        <v>200</v>
      </c>
      <c r="K15" s="3" t="inlineStr">
        <is>
          <t>NU catalog course (code/title/credits from hackathon workbook); description, outcomes and topics SYNTHETIC</t>
        </is>
      </c>
      <c r="L15" s="3" t="inlineStr">
        <is>
          <t>Microeconomic Theory. Topics include consumer theory, general equilibrium, welfare economics, producer theory and market structures; later weeks address cost minimization, utility maximization and game theory basics.</t>
        </is>
      </c>
      <c r="M15" s="3" t="inlineStr">
        <is>
          <t>Explain the core ideas of consumer theory | Apply general equilibrium to solve standard problems | Analyze problems involving welfare economics | Use producer theory in practical exercises | Evaluate approaches to market structures | Communicate findings about cost minimization</t>
        </is>
      </c>
      <c r="N15" s="3" t="inlineStr">
        <is>
          <t>consumer theory | general equilibrium | welfare economics | producer theory | market structures | cost minimization | utility maximization | game theory basics</t>
        </is>
      </c>
      <c r="O15" s="6" t="inlineStr">
        <is>
          <t>CAS EC 201</t>
        </is>
      </c>
      <c r="P15" s="6" t="n">
        <v>1</v>
      </c>
      <c r="Q15" s="6" t="inlineStr">
        <is>
          <t>Equivalent (&gt;=80%)</t>
        </is>
      </c>
    </row>
    <row r="16">
      <c r="A16" s="6" t="inlineStr">
        <is>
          <t>NEU|ECON 2315</t>
        </is>
      </c>
      <c r="B16" s="6" t="inlineStr">
        <is>
          <t>NEU</t>
        </is>
      </c>
      <c r="C16" s="6" t="inlineStr">
        <is>
          <t>ECON 2315</t>
        </is>
      </c>
      <c r="D16" s="6" t="inlineStr">
        <is>
          <t>Macroeconomic Theory</t>
        </is>
      </c>
      <c r="E16" s="6" t="n">
        <v>4</v>
      </c>
      <c r="F16" s="6" t="inlineStr">
        <is>
          <t>Semester</t>
        </is>
      </c>
      <c r="G16" s="6" t="n">
        <v>4</v>
      </c>
      <c r="H16" s="6" t="inlineStr">
        <is>
          <t>Economics</t>
        </is>
      </c>
      <c r="I16" s="6" t="inlineStr">
        <is>
          <t>Academic</t>
        </is>
      </c>
      <c r="J16" s="6" t="n">
        <v>200</v>
      </c>
      <c r="K16" s="3" t="inlineStr">
        <is>
          <t>NU catalog course (code/title/credits from hackathon workbook); description, outcomes and topics SYNTHETIC</t>
        </is>
      </c>
      <c r="L16" s="3" t="inlineStr">
        <is>
          <t>Macroeconomic Theory. Topics include monetary policy rules, business cycles, consumption and saving, labor markets and dummy variables; later weeks address open-economy macroeconomics, investment and IS-LM model.</t>
        </is>
      </c>
      <c r="M16" s="3" t="inlineStr">
        <is>
          <t>Explain the core ideas of monetary policy rules | Apply business cycles to solve standard problems | Analyze problems involving consumption and saving | Use labor markets in practical exercises | Evaluate approaches to dummy variables | Communicate findings about open-economy macroeconomics</t>
        </is>
      </c>
      <c r="N16" s="3" t="inlineStr">
        <is>
          <t>monetary policy rules | business cycles | consumption and saving | labor markets | dummy variables | open-economy macroeconomics | investment | IS-LM model</t>
        </is>
      </c>
      <c r="O16" s="6" t="inlineStr">
        <is>
          <t>CAS EC 202</t>
        </is>
      </c>
      <c r="P16" s="6" t="n">
        <v>0.875</v>
      </c>
      <c r="Q16" s="6" t="inlineStr">
        <is>
          <t>Equivalent (&gt;=80%)</t>
        </is>
      </c>
    </row>
    <row r="17">
      <c r="A17" s="6" t="inlineStr">
        <is>
          <t>NEU|ECON 2350</t>
        </is>
      </c>
      <c r="B17" s="6" t="inlineStr">
        <is>
          <t>NEU</t>
        </is>
      </c>
      <c r="C17" s="6" t="inlineStr">
        <is>
          <t>ECON 2350</t>
        </is>
      </c>
      <c r="D17" s="6" t="inlineStr">
        <is>
          <t>Statistics for Economists</t>
        </is>
      </c>
      <c r="E17" s="6" t="n">
        <v>4</v>
      </c>
      <c r="F17" s="6" t="inlineStr">
        <is>
          <t>Semester</t>
        </is>
      </c>
      <c r="G17" s="6" t="n">
        <v>4</v>
      </c>
      <c r="H17" s="6" t="inlineStr">
        <is>
          <t>Economics</t>
        </is>
      </c>
      <c r="I17" s="6" t="inlineStr">
        <is>
          <t>Academic</t>
        </is>
      </c>
      <c r="J17" s="6" t="n">
        <v>200</v>
      </c>
      <c r="K17" s="3" t="inlineStr">
        <is>
          <t>NU catalog course (code/title/credits from hackathon workbook); description, outcomes and topics SYNTHETIC</t>
        </is>
      </c>
      <c r="L17" s="3" t="inlineStr">
        <is>
          <t>Statistics for Economists. Topics include sampling, data interpretation, confidence intervals, aggregate demand and supply and statistical software; later weeks address descriptive statistics, simple regression and probability distributions.</t>
        </is>
      </c>
      <c r="M17" s="3" t="inlineStr">
        <is>
          <t>Explain the core ideas of sampling | Apply data interpretation to solve standard problems | Analyze problems involving confidence intervals | Use aggregate demand and supply in practical exercises | Evaluate approaches to statistical software | Communicate findings about descriptive statistics</t>
        </is>
      </c>
      <c r="N17" s="3" t="inlineStr">
        <is>
          <t>sampling | data interpretation | confidence intervals | aggregate demand and supply | statistical software | descriptive statistics | simple regression | probability distributions</t>
        </is>
      </c>
      <c r="O17" s="6" t="inlineStr">
        <is>
          <t>CAS EC 203</t>
        </is>
      </c>
      <c r="P17" s="6" t="n">
        <v>0.875</v>
      </c>
      <c r="Q17" s="6" t="inlineStr">
        <is>
          <t>Equivalent (&gt;=80%)</t>
        </is>
      </c>
    </row>
    <row r="18">
      <c r="A18" s="6" t="inlineStr">
        <is>
          <t>NEU|ECON 2560</t>
        </is>
      </c>
      <c r="B18" s="6" t="inlineStr">
        <is>
          <t>NEU</t>
        </is>
      </c>
      <c r="C18" s="6" t="inlineStr">
        <is>
          <t>ECON 2560</t>
        </is>
      </c>
      <c r="D18" s="6" t="inlineStr">
        <is>
          <t>Applied Econometrics</t>
        </is>
      </c>
      <c r="E18" s="6" t="n">
        <v>4</v>
      </c>
      <c r="F18" s="6" t="inlineStr">
        <is>
          <t>Semester</t>
        </is>
      </c>
      <c r="G18" s="6" t="n">
        <v>4</v>
      </c>
      <c r="H18" s="6" t="inlineStr">
        <is>
          <t>Economics</t>
        </is>
      </c>
      <c r="I18" s="6" t="inlineStr">
        <is>
          <t>Academic</t>
        </is>
      </c>
      <c r="J18" s="6" t="n">
        <v>200</v>
      </c>
      <c r="K18" s="3" t="inlineStr">
        <is>
          <t>NU catalog course (code/title/credits from hackathon workbook); description, outcomes and topics SYNTHETIC</t>
        </is>
      </c>
      <c r="L18" s="3" t="inlineStr">
        <is>
          <t>Applied Econometrics. Topics include panel data, multiple regression, omitted variable bias, network industries and central banking; later weeks address causal inference, instrumental variables and statistical software.</t>
        </is>
      </c>
      <c r="M18" s="3" t="inlineStr">
        <is>
          <t>Explain the core ideas of panel data | Apply multiple regression to solve standard problems | Analyze problems involving omitted variable bias | Use network industries in practical exercises | Evaluate approaches to central banking | Communicate findings about causal inference</t>
        </is>
      </c>
      <c r="N18" s="3" t="inlineStr">
        <is>
          <t>panel data | multiple regression | omitted variable bias | network industries | central banking | causal inference | instrumental variables | statistical software</t>
        </is>
      </c>
      <c r="O18" s="6" t="inlineStr">
        <is>
          <t>CAS EC 204</t>
        </is>
      </c>
      <c r="P18" s="6" t="n">
        <v>0.75</v>
      </c>
      <c r="Q18" s="6" t="inlineStr">
        <is>
          <t>Evaluator decides (50-79%)</t>
        </is>
      </c>
    </row>
    <row r="19">
      <c r="A19" s="6" t="inlineStr">
        <is>
          <t>NEU|PSYC 1101</t>
        </is>
      </c>
      <c r="B19" s="6" t="inlineStr">
        <is>
          <t>NEU</t>
        </is>
      </c>
      <c r="C19" s="6" t="inlineStr">
        <is>
          <t>PSYC 1101</t>
        </is>
      </c>
      <c r="D19" s="6" t="inlineStr">
        <is>
          <t>Foundations of Psychology</t>
        </is>
      </c>
      <c r="E19" s="6" t="n">
        <v>4</v>
      </c>
      <c r="F19" s="6" t="inlineStr">
        <is>
          <t>Semester</t>
        </is>
      </c>
      <c r="G19" s="6" t="n">
        <v>4</v>
      </c>
      <c r="H19" s="6" t="inlineStr">
        <is>
          <t>Psychology</t>
        </is>
      </c>
      <c r="I19" s="6" t="inlineStr">
        <is>
          <t>Academic</t>
        </is>
      </c>
      <c r="J19" s="6" t="n">
        <v>100</v>
      </c>
      <c r="K19" s="3" t="inlineStr">
        <is>
          <t>NU catalog course (code/title/credits from hackathon workbook); description, outcomes and topics SYNTHETIC</t>
        </is>
      </c>
      <c r="L19" s="3" t="inlineStr">
        <is>
          <t>Foundations of Psychology. Topics include emotion and the brain, development, research methods, memory and history of psychology; later weeks address biological bases of behavior, learning and psychological disorders.</t>
        </is>
      </c>
      <c r="M19" s="3" t="inlineStr">
        <is>
          <t>Explain the core ideas of emotion and the brain | Apply development to solve standard problems | Analyze problems involving research methods | Use memory in practical exercises | Evaluate approaches to history of psychology | Communicate findings about biological bases of behavior</t>
        </is>
      </c>
      <c r="N19" s="3" t="inlineStr">
        <is>
          <t>emotion and the brain | development | research methods | memory | history of psychology | biological bases of behavior | learning | psychological disorders</t>
        </is>
      </c>
      <c r="O19" s="6" t="inlineStr">
        <is>
          <t>CAS PS 101</t>
        </is>
      </c>
      <c r="P19" s="6" t="n">
        <v>0.875</v>
      </c>
      <c r="Q19" s="6" t="inlineStr">
        <is>
          <t>Equivalent (&gt;=80%)</t>
        </is>
      </c>
    </row>
    <row r="20">
      <c r="A20" s="6" t="inlineStr">
        <is>
          <t>NEU|PSYC 2320</t>
        </is>
      </c>
      <c r="B20" s="6" t="inlineStr">
        <is>
          <t>NEU</t>
        </is>
      </c>
      <c r="C20" s="6" t="inlineStr">
        <is>
          <t>PSYC 2320</t>
        </is>
      </c>
      <c r="D20" s="6" t="inlineStr">
        <is>
          <t>Statistics in Psychological Research</t>
        </is>
      </c>
      <c r="E20" s="6" t="n">
        <v>4</v>
      </c>
      <c r="F20" s="6" t="inlineStr">
        <is>
          <t>Semester</t>
        </is>
      </c>
      <c r="G20" s="6" t="n">
        <v>4</v>
      </c>
      <c r="H20" s="6" t="inlineStr">
        <is>
          <t>Psychology</t>
        </is>
      </c>
      <c r="I20" s="6" t="inlineStr">
        <is>
          <t>Academic</t>
        </is>
      </c>
      <c r="J20" s="6" t="n">
        <v>200</v>
      </c>
      <c r="K20" s="3" t="inlineStr">
        <is>
          <t>NU catalog course (code/title/credits from hackathon workbook); description, outcomes and topics SYNTHETIC</t>
        </is>
      </c>
      <c r="L20" s="3" t="inlineStr">
        <is>
          <t>Statistics in Psychological Research. Topics include memory systems, working memory, forgetting, experimental design and correlation and regression; later weeks address APA-style reporting, t-tests and ANOVA and scientific method.</t>
        </is>
      </c>
      <c r="M20" s="3" t="inlineStr">
        <is>
          <t>Explain the core ideas of memory systems | Apply working memory to solve standard problems | Analyze problems involving forgetting | Use experimental design in practical exercises | Evaluate approaches to correlation and regression | Communicate findings about APA-style reporting</t>
        </is>
      </c>
      <c r="N20" s="3" t="inlineStr">
        <is>
          <t>memory systems | working memory | forgetting | experimental design | correlation and regression | APA-style reporting | t-tests and ANOVA | scientific method</t>
        </is>
      </c>
      <c r="O20" s="6" t="inlineStr">
        <is>
          <t>CAS PS 211</t>
        </is>
      </c>
      <c r="P20" s="6" t="n">
        <v>0.625</v>
      </c>
      <c r="Q20" s="6" t="inlineStr">
        <is>
          <t>Evaluator decides (50-79%)</t>
        </is>
      </c>
    </row>
    <row r="21">
      <c r="A21" s="6" t="inlineStr">
        <is>
          <t>NEU|PSYC 3458</t>
        </is>
      </c>
      <c r="B21" s="6" t="inlineStr">
        <is>
          <t>NEU</t>
        </is>
      </c>
      <c r="C21" s="6" t="inlineStr">
        <is>
          <t>PSYC 3458</t>
        </is>
      </c>
      <c r="D21" s="6" t="inlineStr">
        <is>
          <t>Biological Psychology</t>
        </is>
      </c>
      <c r="E21" s="6" t="n">
        <v>4</v>
      </c>
      <c r="F21" s="6" t="inlineStr">
        <is>
          <t>Semester</t>
        </is>
      </c>
      <c r="G21" s="6" t="n">
        <v>4</v>
      </c>
      <c r="H21" s="6" t="inlineStr">
        <is>
          <t>Psychology</t>
        </is>
      </c>
      <c r="I21" s="6" t="inlineStr">
        <is>
          <t>Academic</t>
        </is>
      </c>
      <c r="J21" s="6" t="n">
        <v>300</v>
      </c>
      <c r="K21" s="3" t="inlineStr">
        <is>
          <t>NU catalog course (code/title/credits from hackathon workbook); description, outcomes and topics SYNTHETIC</t>
        </is>
      </c>
      <c r="L21" s="3" t="inlineStr">
        <is>
          <t>Biological Psychology. Topics include emotion and the brain, neurons and synapses, brain anatomy, sensory systems and neurotransmitters; later weeks address motor control, sleep and neuroplasticity.</t>
        </is>
      </c>
      <c r="M21" s="3" t="inlineStr">
        <is>
          <t>Explain the core ideas of emotion and the brain | Apply neurons and synapses to solve standard problems | Analyze problems involving brain anatomy | Use sensory systems in practical exercises | Evaluate approaches to neurotransmitters | Communicate findings about motor control</t>
        </is>
      </c>
      <c r="N21" s="3" t="inlineStr">
        <is>
          <t>emotion and the brain | neurons and synapses | brain anatomy | sensory systems | neurotransmitters | motor control | sleep | neuroplasticity</t>
        </is>
      </c>
      <c r="O21" s="6" t="inlineStr">
        <is>
          <t>CAS PS 231</t>
        </is>
      </c>
      <c r="P21" s="6" t="n">
        <v>1</v>
      </c>
      <c r="Q21" s="6" t="inlineStr">
        <is>
          <t>Equivalent (&gt;=80%)</t>
        </is>
      </c>
    </row>
    <row r="22">
      <c r="A22" s="6" t="inlineStr">
        <is>
          <t>NEU|PSYC 3402</t>
        </is>
      </c>
      <c r="B22" s="6" t="inlineStr">
        <is>
          <t>NEU</t>
        </is>
      </c>
      <c r="C22" s="6" t="inlineStr">
        <is>
          <t>PSYC 3402</t>
        </is>
      </c>
      <c r="D22" s="6" t="inlineStr">
        <is>
          <t>Social Psychology</t>
        </is>
      </c>
      <c r="E22" s="6" t="n">
        <v>4</v>
      </c>
      <c r="F22" s="6" t="inlineStr">
        <is>
          <t>Semester</t>
        </is>
      </c>
      <c r="G22" s="6" t="n">
        <v>4</v>
      </c>
      <c r="H22" s="6" t="inlineStr">
        <is>
          <t>Psychology</t>
        </is>
      </c>
      <c r="I22" s="6" t="inlineStr">
        <is>
          <t>Academic</t>
        </is>
      </c>
      <c r="J22" s="6" t="n">
        <v>300</v>
      </c>
      <c r="K22" s="3" t="inlineStr">
        <is>
          <t>NU catalog course (code/title/credits from hackathon workbook); description, outcomes and topics SYNTHETIC</t>
        </is>
      </c>
      <c r="L22" s="3" t="inlineStr">
        <is>
          <t>Social Psychology. Topics include attitudes, group behavior, interpersonal attraction, conformity and prosocial behavior; later weeks address prejudice, persuasion and social cognition.</t>
        </is>
      </c>
      <c r="M22" s="3" t="inlineStr">
        <is>
          <t>Explain the core ideas of attitudes | Apply group behavior to solve standard problems | Analyze problems involving interpersonal attraction | Use conformity in practical exercises | Evaluate approaches to prosocial behavior | Communicate findings about prejudice</t>
        </is>
      </c>
      <c r="N22" s="3" t="inlineStr">
        <is>
          <t>attitudes | group behavior | interpersonal attraction | conformity | prosocial behavior | prejudice | persuasion | social cognition</t>
        </is>
      </c>
      <c r="O22" s="6" t="inlineStr">
        <is>
          <t>CAS PS 261</t>
        </is>
      </c>
      <c r="P22" s="6" t="n">
        <v>1</v>
      </c>
      <c r="Q22" s="6" t="inlineStr">
        <is>
          <t>Equivalent (&gt;=80%)</t>
        </is>
      </c>
    </row>
    <row r="23">
      <c r="A23" s="6" t="inlineStr">
        <is>
          <t>NEU|PSYC 3404</t>
        </is>
      </c>
      <c r="B23" s="6" t="inlineStr">
        <is>
          <t>NEU</t>
        </is>
      </c>
      <c r="C23" s="6" t="inlineStr">
        <is>
          <t>PSYC 3404</t>
        </is>
      </c>
      <c r="D23" s="6" t="inlineStr">
        <is>
          <t>Developmental Psychology</t>
        </is>
      </c>
      <c r="E23" s="6" t="n">
        <v>4</v>
      </c>
      <c r="F23" s="6" t="inlineStr">
        <is>
          <t>Semester</t>
        </is>
      </c>
      <c r="G23" s="6" t="n">
        <v>4</v>
      </c>
      <c r="H23" s="6" t="inlineStr">
        <is>
          <t>Psychology</t>
        </is>
      </c>
      <c r="I23" s="6" t="inlineStr">
        <is>
          <t>Academic</t>
        </is>
      </c>
      <c r="J23" s="6" t="n">
        <v>300</v>
      </c>
      <c r="K23" s="3" t="inlineStr">
        <is>
          <t>NU catalog course (code/title/credits from hackathon workbook); description, outcomes and topics SYNTHETIC</t>
        </is>
      </c>
      <c r="L23" s="3" t="inlineStr">
        <is>
          <t>Developmental Psychology. Topics include cognitive development, attachment, infancy, language development and prenatal development; later weeks address social development, adolescence and developmental research methods.</t>
        </is>
      </c>
      <c r="M23" s="3" t="inlineStr">
        <is>
          <t>Explain the core ideas of cognitive development | Apply attachment to solve standard problems | Analyze problems involving infancy | Use language development in practical exercises | Evaluate approaches to prenatal development | Communicate findings about social development</t>
        </is>
      </c>
      <c r="N23" s="3" t="inlineStr">
        <is>
          <t>cognitive development | attachment | infancy | language development | prenatal development | social development | adolescence | developmental research methods</t>
        </is>
      </c>
      <c r="O23" s="6" t="inlineStr">
        <is>
          <t>CAS PS 241</t>
        </is>
      </c>
      <c r="P23" s="6" t="n">
        <v>1</v>
      </c>
      <c r="Q23" s="6" t="inlineStr">
        <is>
          <t>Equivalent (&gt;=80%)</t>
        </is>
      </c>
    </row>
    <row r="24">
      <c r="A24" s="6" t="inlineStr">
        <is>
          <t>NEU|PSYC 3464</t>
        </is>
      </c>
      <c r="B24" s="6" t="inlineStr">
        <is>
          <t>NEU</t>
        </is>
      </c>
      <c r="C24" s="6" t="inlineStr">
        <is>
          <t>PSYC 3464</t>
        </is>
      </c>
      <c r="D24" s="6" t="inlineStr">
        <is>
          <t>Psychology of Language</t>
        </is>
      </c>
      <c r="E24" s="6" t="n">
        <v>4</v>
      </c>
      <c r="F24" s="6" t="inlineStr">
        <is>
          <t>Semester</t>
        </is>
      </c>
      <c r="G24" s="6" t="n">
        <v>4</v>
      </c>
      <c r="H24" s="6" t="inlineStr">
        <is>
          <t>Psychology</t>
        </is>
      </c>
      <c r="I24" s="6" t="inlineStr">
        <is>
          <t>Academic</t>
        </is>
      </c>
      <c r="J24" s="6" t="n">
        <v>300</v>
      </c>
      <c r="K24" s="3" t="inlineStr">
        <is>
          <t>NU catalog course (code/title/credits from hackathon workbook); description, outcomes and topics SYNTHETIC</t>
        </is>
      </c>
      <c r="L24" s="3" t="inlineStr">
        <is>
          <t>Psychology of Language. Topics include bilingualism, reading, speech perception, sentence processing and language acquisition; later weeks address word recognition, language and thought and personality stability.</t>
        </is>
      </c>
      <c r="M24" s="3" t="inlineStr">
        <is>
          <t>Explain the core ideas of bilingualism | Apply reading to solve standard problems | Analyze problems involving speech perception | Use sentence processing in practical exercises | Evaluate approaches to language acquisition | Communicate findings about word recognition</t>
        </is>
      </c>
      <c r="N24" s="3" t="inlineStr">
        <is>
          <t>bilingualism | reading | speech perception | sentence processing | language acquisition | word recognition | language and thought | personality stability</t>
        </is>
      </c>
      <c r="O24" s="6" t="inlineStr">
        <is>
          <t>CAS PS 275</t>
        </is>
      </c>
      <c r="P24" s="6" t="n">
        <v>0.875</v>
      </c>
      <c r="Q24" s="6" t="inlineStr">
        <is>
          <t>Equivalent (&gt;=80%)</t>
        </is>
      </c>
    </row>
    <row r="25">
      <c r="A25" s="6" t="inlineStr">
        <is>
          <t>NEU|BIOL 1107</t>
        </is>
      </c>
      <c r="B25" s="6" t="inlineStr">
        <is>
          <t>NEU</t>
        </is>
      </c>
      <c r="C25" s="6" t="inlineStr">
        <is>
          <t>BIOL 1107</t>
        </is>
      </c>
      <c r="D25" s="6" t="inlineStr">
        <is>
          <t>Foundations of Biology</t>
        </is>
      </c>
      <c r="E25" s="6" t="n">
        <v>5</v>
      </c>
      <c r="F25" s="6" t="inlineStr">
        <is>
          <t>Semester</t>
        </is>
      </c>
      <c r="G25" s="6" t="n">
        <v>5</v>
      </c>
      <c r="H25" s="6" t="inlineStr">
        <is>
          <t>Biology</t>
        </is>
      </c>
      <c r="I25" s="6" t="inlineStr">
        <is>
          <t>Academic</t>
        </is>
      </c>
      <c r="J25" s="6" t="n">
        <v>100</v>
      </c>
      <c r="K25" s="3" t="inlineStr">
        <is>
          <t>NU catalog course (code/title/credits from hackathon workbook); description, outcomes and topics SYNTHETIC</t>
        </is>
      </c>
      <c r="L25" s="3" t="inlineStr">
        <is>
          <t>Foundations of Biology. Topics include scientific method, evolution, ecology, biodiversity and cell structure; later weeks address Mendelian genetics, reproductive system and laboratory techniques.</t>
        </is>
      </c>
      <c r="M25" s="3" t="inlineStr">
        <is>
          <t>Explain the core ideas of scientific method | Apply evolution to solve standard problems | Analyze problems involving ecology | Use biodiversity in practical exercises | Evaluate approaches to cell structure | Communicate findings about Mendelian genetics</t>
        </is>
      </c>
      <c r="N25" s="3" t="inlineStr">
        <is>
          <t>scientific method | evolution | ecology | biodiversity | cell structure | Mendelian genetics | reproductive system | laboratory techniques</t>
        </is>
      </c>
      <c r="O25" s="6" t="inlineStr">
        <is>
          <t>CAS BI 107</t>
        </is>
      </c>
      <c r="P25" s="6" t="n">
        <v>0.875</v>
      </c>
      <c r="Q25" s="6" t="inlineStr">
        <is>
          <t>Equivalent (&gt;=80%)</t>
        </is>
      </c>
    </row>
    <row r="26">
      <c r="A26" s="6" t="inlineStr">
        <is>
          <t>NEU|BIOL 1113</t>
        </is>
      </c>
      <c r="B26" s="6" t="inlineStr">
        <is>
          <t>NEU</t>
        </is>
      </c>
      <c r="C26" s="6" t="inlineStr">
        <is>
          <t>BIOL 1113</t>
        </is>
      </c>
      <c r="D26" s="6" t="inlineStr">
        <is>
          <t>General Biology 2</t>
        </is>
      </c>
      <c r="E26" s="6" t="n">
        <v>4</v>
      </c>
      <c r="F26" s="6" t="inlineStr">
        <is>
          <t>Semester</t>
        </is>
      </c>
      <c r="G26" s="6" t="n">
        <v>4</v>
      </c>
      <c r="H26" s="6" t="inlineStr">
        <is>
          <t>Biology</t>
        </is>
      </c>
      <c r="I26" s="6" t="inlineStr">
        <is>
          <t>Academic</t>
        </is>
      </c>
      <c r="J26" s="6" t="n">
        <v>100</v>
      </c>
      <c r="K26" s="3" t="inlineStr">
        <is>
          <t>NU catalog course (code/title/credits from hackathon workbook); description, outcomes and topics SYNTHETIC</t>
        </is>
      </c>
      <c r="L26" s="3" t="inlineStr">
        <is>
          <t>General Biology 2. Topics include photosynthesis, gene expression, cell metabolism, cell division and physiology; later weeks address molecular genetics, cellular respiration and laboratory techniques.</t>
        </is>
      </c>
      <c r="M26" s="3" t="inlineStr">
        <is>
          <t>Explain the core ideas of photosynthesis | Apply gene expression to solve standard problems | Analyze problems involving cell metabolism | Use cell division in practical exercises | Evaluate approaches to physiology | Communicate findings about molecular genetics</t>
        </is>
      </c>
      <c r="N26" s="3" t="inlineStr">
        <is>
          <t>photosynthesis | gene expression | cell metabolism | cell division | physiology | molecular genetics | cellular respiration | laboratory techniques</t>
        </is>
      </c>
      <c r="O26" s="6" t="inlineStr">
        <is>
          <t>CAS BI 108</t>
        </is>
      </c>
      <c r="P26" s="6" t="n">
        <v>1</v>
      </c>
      <c r="Q26" s="6" t="inlineStr">
        <is>
          <t>Equivalent (&gt;=80%)</t>
        </is>
      </c>
    </row>
    <row r="27">
      <c r="A27" s="6" t="inlineStr">
        <is>
          <t>NEU|BIOL 2299</t>
        </is>
      </c>
      <c r="B27" s="6" t="inlineStr">
        <is>
          <t>NEU</t>
        </is>
      </c>
      <c r="C27" s="6" t="inlineStr">
        <is>
          <t>BIOL 2299</t>
        </is>
      </c>
      <c r="D27" s="6" t="inlineStr">
        <is>
          <t>Inquiries in Biological Sciences</t>
        </is>
      </c>
      <c r="E27" s="6" t="n">
        <v>4</v>
      </c>
      <c r="F27" s="6" t="inlineStr">
        <is>
          <t>Semester</t>
        </is>
      </c>
      <c r="G27" s="6" t="n">
        <v>4</v>
      </c>
      <c r="H27" s="6" t="inlineStr">
        <is>
          <t>Biology</t>
        </is>
      </c>
      <c r="I27" s="6" t="inlineStr">
        <is>
          <t>Academic</t>
        </is>
      </c>
      <c r="J27" s="6" t="n">
        <v>200</v>
      </c>
      <c r="K27" s="3" t="inlineStr">
        <is>
          <t>NU catalog course (code/title/credits from hackathon workbook); description, outcomes and topics SYNTHETIC</t>
        </is>
      </c>
      <c r="L27" s="3" t="inlineStr">
        <is>
          <t>Inquiries in Biological Sciences. Topics include conservation genetics, substitution reactions, ecology, amines and metabolic regulation; later weeks address restoration ecology, Mendelian genetics and biodiversity.</t>
        </is>
      </c>
      <c r="M27" s="3" t="inlineStr">
        <is>
          <t>Explain the core ideas of conservation genetics | Apply substitution reactions to solve standard problems | Analyze problems involving ecology | Use amines in practical exercises | Evaluate approaches to metabolic regulation | Communicate findings about restoration ecology</t>
        </is>
      </c>
      <c r="N27" s="3" t="inlineStr">
        <is>
          <t>conservation genetics | substitution reactions | ecology | amines | metabolic regulation | restoration ecology | Mendelian genetics | biodiversity</t>
        </is>
      </c>
      <c r="O27" s="6" t="inlineStr">
        <is>
          <t>CAS BI 107</t>
        </is>
      </c>
      <c r="P27" s="6" t="n">
        <v>0.375</v>
      </c>
      <c r="Q27" s="6" t="inlineStr">
        <is>
          <t>Elective (&lt;50%)</t>
        </is>
      </c>
    </row>
    <row r="28">
      <c r="A28" s="6" t="inlineStr">
        <is>
          <t>NEU|BIOL 2301</t>
        </is>
      </c>
      <c r="B28" s="6" t="inlineStr">
        <is>
          <t>NEU</t>
        </is>
      </c>
      <c r="C28" s="6" t="inlineStr">
        <is>
          <t>BIOL 2301</t>
        </is>
      </c>
      <c r="D28" s="6" t="inlineStr">
        <is>
          <t>Genetics and Molecular Biology</t>
        </is>
      </c>
      <c r="E28" s="6" t="n">
        <v>5</v>
      </c>
      <c r="F28" s="6" t="inlineStr">
        <is>
          <t>Semester</t>
        </is>
      </c>
      <c r="G28" s="6" t="n">
        <v>5</v>
      </c>
      <c r="H28" s="6" t="inlineStr">
        <is>
          <t>Biology</t>
        </is>
      </c>
      <c r="I28" s="6" t="inlineStr">
        <is>
          <t>Academic</t>
        </is>
      </c>
      <c r="J28" s="6" t="n">
        <v>200</v>
      </c>
      <c r="K28" s="3" t="inlineStr">
        <is>
          <t>NU catalog course (code/title/credits from hackathon workbook); description, outcomes and topics SYNTHETIC</t>
        </is>
      </c>
      <c r="L28" s="3" t="inlineStr">
        <is>
          <t>Genetics and Molecular Biology. Topics include organogenesis, gene expression, sensory systems, genomics and DNA replication; later weeks address mutation, genetic mapping and Mendelian genetics.</t>
        </is>
      </c>
      <c r="M28" s="3" t="inlineStr">
        <is>
          <t>Explain the core ideas of organogenesis | Apply gene expression to solve standard problems | Analyze problems involving sensory systems | Use genomics in practical exercises | Evaluate approaches to DNA replication | Communicate findings about mutation</t>
        </is>
      </c>
      <c r="N28" s="3" t="inlineStr">
        <is>
          <t>organogenesis | gene expression | sensory systems | genomics | DNA replication | mutation | genetic mapping | Mendelian genetics</t>
        </is>
      </c>
      <c r="O28" s="6" t="inlineStr">
        <is>
          <t>CAS BI 206</t>
        </is>
      </c>
      <c r="P28" s="6" t="n">
        <v>0.75</v>
      </c>
      <c r="Q28" s="6" t="inlineStr">
        <is>
          <t>Evaluator decides (50-79%)</t>
        </is>
      </c>
    </row>
    <row r="29">
      <c r="A29" s="6" t="inlineStr">
        <is>
          <t>NEU|BIOL 3611</t>
        </is>
      </c>
      <c r="B29" s="6" t="inlineStr">
        <is>
          <t>NEU</t>
        </is>
      </c>
      <c r="C29" s="6" t="inlineStr">
        <is>
          <t>BIOL 3611</t>
        </is>
      </c>
      <c r="D29" s="6" t="inlineStr">
        <is>
          <t>Biochemistry</t>
        </is>
      </c>
      <c r="E29" s="6" t="n">
        <v>5</v>
      </c>
      <c r="F29" s="6" t="inlineStr">
        <is>
          <t>Semester</t>
        </is>
      </c>
      <c r="G29" s="6" t="n">
        <v>5</v>
      </c>
      <c r="H29" s="6" t="inlineStr">
        <is>
          <t>Biology</t>
        </is>
      </c>
      <c r="I29" s="6" t="inlineStr">
        <is>
          <t>Academic</t>
        </is>
      </c>
      <c r="J29" s="6" t="n">
        <v>300</v>
      </c>
      <c r="K29" s="3" t="inlineStr">
        <is>
          <t>NU catalog course (code/title/credits from hackathon workbook); description, outcomes and topics SYNTHETIC</t>
        </is>
      </c>
      <c r="L29" s="3" t="inlineStr">
        <is>
          <t>Biochemistry. Topics include laboratory techniques, metabolism, bioenergetics, nucleic acids and lipids and membranes; later weeks address communication, carbohydrates and amino acids and proteins.</t>
        </is>
      </c>
      <c r="M29" s="3" t="inlineStr">
        <is>
          <t>Explain the core ideas of laboratory techniques | Apply metabolism to solve standard problems | Analyze problems involving bioenergetics | Use nucleic acids in practical exercises | Evaluate approaches to lipids and membranes | Communicate findings about communication</t>
        </is>
      </c>
      <c r="N29" s="3" t="inlineStr">
        <is>
          <t>laboratory techniques | metabolism | bioenergetics | nucleic acids | lipids and membranes | communication | carbohydrates | amino acids and proteins</t>
        </is>
      </c>
      <c r="O29" s="6" t="inlineStr">
        <is>
          <t>CAS CH 373</t>
        </is>
      </c>
      <c r="P29" s="6" t="n">
        <v>0.875</v>
      </c>
      <c r="Q29" s="6" t="inlineStr">
        <is>
          <t>Equivalent (&gt;=80%)</t>
        </is>
      </c>
    </row>
    <row r="30">
      <c r="A30" s="6" t="inlineStr">
        <is>
          <t>NEU|CHEM 1161</t>
        </is>
      </c>
      <c r="B30" s="6" t="inlineStr">
        <is>
          <t>NEU</t>
        </is>
      </c>
      <c r="C30" s="6" t="inlineStr">
        <is>
          <t>CHEM 1161</t>
        </is>
      </c>
      <c r="D30" s="6" t="inlineStr">
        <is>
          <t>General Chemistry for Science Majors</t>
        </is>
      </c>
      <c r="E30" s="6" t="n">
        <v>5</v>
      </c>
      <c r="F30" s="6" t="inlineStr">
        <is>
          <t>Semester</t>
        </is>
      </c>
      <c r="G30" s="6" t="n">
        <v>5</v>
      </c>
      <c r="H30" s="6" t="inlineStr">
        <is>
          <t>Biology</t>
        </is>
      </c>
      <c r="I30" s="6" t="inlineStr">
        <is>
          <t>Academic</t>
        </is>
      </c>
      <c r="J30" s="6" t="n">
        <v>100</v>
      </c>
      <c r="K30" s="3" t="inlineStr">
        <is>
          <t>NU catalog course (code/title/credits from hackathon workbook); description, outcomes and topics SYNTHETIC</t>
        </is>
      </c>
      <c r="L30" s="3" t="inlineStr">
        <is>
          <t>General Chemistry for Science Majors. Topics include gas laws, ocean environments, laboratory safety, thyroid and stoichiometry; later weeks address periodic trends, adaptive immunity and chemical bonding.</t>
        </is>
      </c>
      <c r="M30" s="3" t="inlineStr">
        <is>
          <t>Explain the core ideas of gas laws | Apply ocean environments to solve standard problems | Analyze problems involving laboratory safety | Use thyroid in practical exercises | Evaluate approaches to stoichiometry | Communicate findings about periodic trends</t>
        </is>
      </c>
      <c r="N30" s="3" t="inlineStr">
        <is>
          <t>gas laws | ocean environments | laboratory safety | thyroid | stoichiometry | periodic trends | adaptive immunity | chemical bonding</t>
        </is>
      </c>
      <c r="O30" s="6" t="inlineStr">
        <is>
          <t>CAS CH 101</t>
        </is>
      </c>
      <c r="P30" s="6" t="n">
        <v>0.625</v>
      </c>
      <c r="Q30" s="6" t="inlineStr">
        <is>
          <t>Evaluator decides (50-79%)</t>
        </is>
      </c>
    </row>
    <row r="31">
      <c r="A31" s="6" t="inlineStr">
        <is>
          <t>NEU|CHEM 2311</t>
        </is>
      </c>
      <c r="B31" s="6" t="inlineStr">
        <is>
          <t>NEU</t>
        </is>
      </c>
      <c r="C31" s="6" t="inlineStr">
        <is>
          <t>CHEM 2311</t>
        </is>
      </c>
      <c r="D31" s="6" t="inlineStr">
        <is>
          <t>Organic Chemistry 1</t>
        </is>
      </c>
      <c r="E31" s="6" t="n">
        <v>5</v>
      </c>
      <c r="F31" s="6" t="inlineStr">
        <is>
          <t>Semester</t>
        </is>
      </c>
      <c r="G31" s="6" t="n">
        <v>5</v>
      </c>
      <c r="H31" s="6" t="inlineStr">
        <is>
          <t>Biology</t>
        </is>
      </c>
      <c r="I31" s="6" t="inlineStr">
        <is>
          <t>Academic</t>
        </is>
      </c>
      <c r="J31" s="6" t="n">
        <v>200</v>
      </c>
      <c r="K31" s="3" t="inlineStr">
        <is>
          <t>NU catalog course (code/title/credits from hackathon workbook); description, outcomes and topics SYNTHETIC</t>
        </is>
      </c>
      <c r="L31" s="3" t="inlineStr">
        <is>
          <t>Organic Chemistry 1. Topics include elimination reactions, molecular structure, cell metabolism, substitution reactions and stereochemistry; later weeks address spectroscopy, alkenes and alkynes and nomenclature.</t>
        </is>
      </c>
      <c r="M31" s="3" t="inlineStr">
        <is>
          <t>Explain the core ideas of elimination reactions | Apply molecular structure to solve standard problems | Analyze problems involving cell metabolism | Use substitution reactions in practical exercises | Evaluate approaches to stereochemistry | Communicate findings about spectroscopy</t>
        </is>
      </c>
      <c r="N31" s="3" t="inlineStr">
        <is>
          <t>elimination reactions | molecular structure | cell metabolism | substitution reactions | stereochemistry | spectroscopy | alkenes and alkynes | nomenclature</t>
        </is>
      </c>
      <c r="O31" s="6" t="inlineStr">
        <is>
          <t>CAS CH 203</t>
        </is>
      </c>
      <c r="P31" s="6" t="n">
        <v>0.875</v>
      </c>
      <c r="Q31" s="6" t="inlineStr">
        <is>
          <t>Equivalent (&gt;=80%)</t>
        </is>
      </c>
    </row>
    <row r="32">
      <c r="A32" s="6" t="inlineStr">
        <is>
          <t>NEU|CHEM 2313</t>
        </is>
      </c>
      <c r="B32" s="6" t="inlineStr">
        <is>
          <t>NEU</t>
        </is>
      </c>
      <c r="C32" s="6" t="inlineStr">
        <is>
          <t>CHEM 2313</t>
        </is>
      </c>
      <c r="D32" s="6" t="inlineStr">
        <is>
          <t>Organic Chemistry 2</t>
        </is>
      </c>
      <c r="E32" s="6" t="n">
        <v>5</v>
      </c>
      <c r="F32" s="6" t="inlineStr">
        <is>
          <t>Semester</t>
        </is>
      </c>
      <c r="G32" s="6" t="n">
        <v>5</v>
      </c>
      <c r="H32" s="6" t="inlineStr">
        <is>
          <t>Biology</t>
        </is>
      </c>
      <c r="I32" s="6" t="inlineStr">
        <is>
          <t>Academic</t>
        </is>
      </c>
      <c r="J32" s="6" t="n">
        <v>200</v>
      </c>
      <c r="K32" s="3" t="inlineStr">
        <is>
          <t>NU catalog course (code/title/credits from hackathon workbook); description, outcomes and topics SYNTHETIC</t>
        </is>
      </c>
      <c r="L32" s="3" t="inlineStr">
        <is>
          <t>Organic Chemistry 2. Topics include synthesis planning, spectroscopy, reaction mechanisms, aromatic compounds and amines; later weeks address alcohols and ethers, biomolecules and carbonyl chemistry.</t>
        </is>
      </c>
      <c r="M32" s="3" t="inlineStr">
        <is>
          <t>Explain the core ideas of synthesis planning | Apply spectroscopy to solve standard problems | Analyze problems involving reaction mechanisms | Use aromatic compounds in practical exercises | Evaluate approaches to amines | Communicate findings about alcohols and ethers</t>
        </is>
      </c>
      <c r="N32" s="3" t="inlineStr">
        <is>
          <t>synthesis planning | spectroscopy | reaction mechanisms | aromatic compounds | amines | alcohols and ethers | biomolecules | carbonyl chemistry</t>
        </is>
      </c>
      <c r="O32" s="6" t="inlineStr">
        <is>
          <t>CAS CH 204</t>
        </is>
      </c>
      <c r="P32" s="6" t="n">
        <v>1</v>
      </c>
      <c r="Q32" s="6" t="inlineStr">
        <is>
          <t>Equivalent (&gt;=80%)</t>
        </is>
      </c>
    </row>
    <row r="33">
      <c r="A33" s="6" t="inlineStr">
        <is>
          <t>NEU|MATH 1341</t>
        </is>
      </c>
      <c r="B33" s="6" t="inlineStr">
        <is>
          <t>NEU</t>
        </is>
      </c>
      <c r="C33" s="6" t="inlineStr">
        <is>
          <t>MATH 1341</t>
        </is>
      </c>
      <c r="D33" s="6" t="inlineStr">
        <is>
          <t>Calculus 1 for Science and Engineering</t>
        </is>
      </c>
      <c r="E33" s="6" t="n">
        <v>4</v>
      </c>
      <c r="F33" s="6" t="inlineStr">
        <is>
          <t>Semester</t>
        </is>
      </c>
      <c r="G33" s="6" t="n">
        <v>4</v>
      </c>
      <c r="H33" s="6" t="inlineStr">
        <is>
          <t>Mathematics</t>
        </is>
      </c>
      <c r="I33" s="6" t="inlineStr">
        <is>
          <t>Academic</t>
        </is>
      </c>
      <c r="J33" s="6" t="n">
        <v>100</v>
      </c>
      <c r="K33" s="3" t="inlineStr">
        <is>
          <t>NU catalog course (code/title/credits from hackathon workbook); description, outcomes and topics SYNTHETIC</t>
        </is>
      </c>
      <c r="L33" s="3" t="inlineStr">
        <is>
          <t>Calculus 1 for Science and Engineering. Topics include optimization, differentiation rules, continuity, introduction to integrals and limits; later weeks address permutations and combinations, applications of derivatives and derivatives.</t>
        </is>
      </c>
      <c r="M33" s="3" t="inlineStr">
        <is>
          <t>Explain the core ideas of optimization | Apply differentiation rules to solve standard problems | Analyze problems involving continuity | Use introduction to integrals in practical exercises | Evaluate approaches to limits | Communicate findings about permutations and combinations</t>
        </is>
      </c>
      <c r="N33" s="3" t="inlineStr">
        <is>
          <t>optimization | differentiation rules | continuity | introduction to integrals | limits | permutations and combinations | applications of derivatives | derivatives</t>
        </is>
      </c>
      <c r="O33" s="6" t="inlineStr">
        <is>
          <t>CAS MA 123</t>
        </is>
      </c>
      <c r="P33" s="6" t="n">
        <v>0.875</v>
      </c>
      <c r="Q33" s="6" t="inlineStr">
        <is>
          <t>Equivalent (&gt;=80%)</t>
        </is>
      </c>
    </row>
    <row r="34">
      <c r="A34" s="6" t="inlineStr">
        <is>
          <t>NEU|MATH 1342</t>
        </is>
      </c>
      <c r="B34" s="6" t="inlineStr">
        <is>
          <t>NEU</t>
        </is>
      </c>
      <c r="C34" s="6" t="inlineStr">
        <is>
          <t>MATH 1342</t>
        </is>
      </c>
      <c r="D34" s="6" t="inlineStr">
        <is>
          <t>Calculus 2 for Science and Engineering</t>
        </is>
      </c>
      <c r="E34" s="6" t="n">
        <v>4</v>
      </c>
      <c r="F34" s="6" t="inlineStr">
        <is>
          <t>Semester</t>
        </is>
      </c>
      <c r="G34" s="6" t="n">
        <v>4</v>
      </c>
      <c r="H34" s="6" t="inlineStr">
        <is>
          <t>Mathematics</t>
        </is>
      </c>
      <c r="I34" s="6" t="inlineStr">
        <is>
          <t>Academic</t>
        </is>
      </c>
      <c r="J34" s="6" t="n">
        <v>100</v>
      </c>
      <c r="K34" s="3" t="inlineStr">
        <is>
          <t>NU catalog course (code/title/credits from hackathon workbook); description, outcomes and topics SYNTHETIC</t>
        </is>
      </c>
      <c r="L34" s="3" t="inlineStr">
        <is>
          <t>Calculus 2 for Science and Engineering. Topics include sequences, dimensional analysis, Taylor series, power series and series; later weeks address applications of integrals, improper integrals and convergence tests.</t>
        </is>
      </c>
      <c r="M34" s="3" t="inlineStr">
        <is>
          <t>Explain the core ideas of sequences | Apply dimensional analysis to solve standard problems | Analyze problems involving Taylor series | Use power series in practical exercises | Evaluate approaches to series | Communicate findings about applications of integrals</t>
        </is>
      </c>
      <c r="N34" s="3" t="inlineStr">
        <is>
          <t>sequences | dimensional analysis | Taylor series | power series | series | applications of integrals | improper integrals | convergence tests</t>
        </is>
      </c>
      <c r="O34" s="6" t="inlineStr">
        <is>
          <t>CAS MA 124</t>
        </is>
      </c>
      <c r="P34" s="6" t="n">
        <v>0.875</v>
      </c>
      <c r="Q34" s="6" t="inlineStr">
        <is>
          <t>Equivalent (&gt;=80%)</t>
        </is>
      </c>
    </row>
    <row r="35">
      <c r="A35" s="6" t="inlineStr">
        <is>
          <t>NEU|MATH 2321</t>
        </is>
      </c>
      <c r="B35" s="6" t="inlineStr">
        <is>
          <t>NEU</t>
        </is>
      </c>
      <c r="C35" s="6" t="inlineStr">
        <is>
          <t>MATH 2321</t>
        </is>
      </c>
      <c r="D35" s="6" t="inlineStr">
        <is>
          <t>Calculus 3 for Science and Engineering</t>
        </is>
      </c>
      <c r="E35" s="6" t="n">
        <v>4</v>
      </c>
      <c r="F35" s="6" t="inlineStr">
        <is>
          <t>Semester</t>
        </is>
      </c>
      <c r="G35" s="6" t="n">
        <v>4</v>
      </c>
      <c r="H35" s="6" t="inlineStr">
        <is>
          <t>Mathematics</t>
        </is>
      </c>
      <c r="I35" s="6" t="inlineStr">
        <is>
          <t>Academic</t>
        </is>
      </c>
      <c r="J35" s="6" t="n">
        <v>200</v>
      </c>
      <c r="K35" s="3" t="inlineStr">
        <is>
          <t>NU catalog course (code/title/credits from hackathon workbook); description, outcomes and topics SYNTHETIC</t>
        </is>
      </c>
      <c r="L35" s="3" t="inlineStr">
        <is>
          <t>Calculus 3 for Science and Engineering. Topics include vectors, surface integrals, Green's and Stokes' theorems, multiple integrals and line integrals; later weeks address partial derivatives, gradients and vector fields.</t>
        </is>
      </c>
      <c r="M35" s="3" t="inlineStr">
        <is>
          <t>Explain the core ideas of vectors | Apply surface integrals to solve standard problems | Analyze problems involving Green's and Stokes' theorems | Use multiple integrals in practical exercises | Evaluate approaches to line integrals | Communicate findings about partial derivatives</t>
        </is>
      </c>
      <c r="N35" s="3" t="inlineStr">
        <is>
          <t>vectors | surface integrals | Green's and Stokes' theorems | multiple integrals | line integrals | partial derivatives | gradients | vector fields</t>
        </is>
      </c>
      <c r="O35" s="6" t="inlineStr">
        <is>
          <t>CAS MA 225</t>
        </is>
      </c>
      <c r="P35" s="6" t="n">
        <v>1</v>
      </c>
      <c r="Q35" s="6" t="inlineStr">
        <is>
          <t>Equivalent (&gt;=80%)</t>
        </is>
      </c>
    </row>
    <row r="36">
      <c r="A36" s="6" t="inlineStr">
        <is>
          <t>NEU|MATH 2331</t>
        </is>
      </c>
      <c r="B36" s="6" t="inlineStr">
        <is>
          <t>NEU</t>
        </is>
      </c>
      <c r="C36" s="6" t="inlineStr">
        <is>
          <t>MATH 2331</t>
        </is>
      </c>
      <c r="D36" s="6" t="inlineStr">
        <is>
          <t>Linear Algebra</t>
        </is>
      </c>
      <c r="E36" s="6" t="n">
        <v>4</v>
      </c>
      <c r="F36" s="6" t="inlineStr">
        <is>
          <t>Semester</t>
        </is>
      </c>
      <c r="G36" s="6" t="n">
        <v>4</v>
      </c>
      <c r="H36" s="6" t="inlineStr">
        <is>
          <t>Mathematics</t>
        </is>
      </c>
      <c r="I36" s="6" t="inlineStr">
        <is>
          <t>Academic</t>
        </is>
      </c>
      <c r="J36" s="6" t="n">
        <v>200</v>
      </c>
      <c r="K36" s="3" t="inlineStr">
        <is>
          <t>NU catalog course (code/title/credits from hackathon workbook); description, outcomes and topics SYNTHETIC</t>
        </is>
      </c>
      <c r="L36" s="3" t="inlineStr">
        <is>
          <t>Linear Algebra. Topics include vector spaces, least squares, linear transformations, linear systems and matrix algebra; later weeks address eigenvalues, orthogonality and determinants.</t>
        </is>
      </c>
      <c r="M36" s="3" t="inlineStr">
        <is>
          <t>Explain the core ideas of vector spaces | Apply least squares to solve standard problems | Analyze problems involving linear transformations | Use linear systems in practical exercises | Evaluate approaches to matrix algebra | Communicate findings about eigenvalues</t>
        </is>
      </c>
      <c r="N36" s="3" t="inlineStr">
        <is>
          <t>vector spaces | least squares | linear transformations | linear systems | matrix algebra | eigenvalues | orthogonality | determinants</t>
        </is>
      </c>
      <c r="O36" s="6" t="inlineStr">
        <is>
          <t>CAS MA 242</t>
        </is>
      </c>
      <c r="P36" s="6" t="n">
        <v>1</v>
      </c>
      <c r="Q36" s="6" t="inlineStr">
        <is>
          <t>Equivalent (&gt;=80%)</t>
        </is>
      </c>
    </row>
    <row r="37">
      <c r="A37" s="6" t="inlineStr">
        <is>
          <t>NEU|MATH 2341</t>
        </is>
      </c>
      <c r="B37" s="6" t="inlineStr">
        <is>
          <t>NEU</t>
        </is>
      </c>
      <c r="C37" s="6" t="inlineStr">
        <is>
          <t>MATH 2341</t>
        </is>
      </c>
      <c r="D37" s="3" t="inlineStr">
        <is>
          <t>Differential Equations and Linear Algebra for Engineering</t>
        </is>
      </c>
      <c r="E37" s="6" t="n">
        <v>4</v>
      </c>
      <c r="F37" s="6" t="inlineStr">
        <is>
          <t>Semester</t>
        </is>
      </c>
      <c r="G37" s="6" t="n">
        <v>4</v>
      </c>
      <c r="H37" s="6" t="inlineStr">
        <is>
          <t>Mathematics</t>
        </is>
      </c>
      <c r="I37" s="6" t="inlineStr">
        <is>
          <t>Academic</t>
        </is>
      </c>
      <c r="J37" s="6" t="n">
        <v>200</v>
      </c>
      <c r="K37" s="3" t="inlineStr">
        <is>
          <t>NU catalog course (code/title/credits from hackathon workbook); description, outcomes and topics SYNTHETIC</t>
        </is>
      </c>
      <c r="L37" s="3" t="inlineStr">
        <is>
          <t>Differential Equations and Linear Algebra for Engineering. Topics include numerical methods, Laplace transforms, mathematical modeling, systems of equations and number systems; later weeks address second-order linear equations, improper integrals and series solutions.</t>
        </is>
      </c>
      <c r="M37" s="3" t="inlineStr">
        <is>
          <t>Explain the core ideas of numerical methods | Apply Laplace transforms to solve standard problems | Analyze problems involving mathematical modeling | Use systems of equations in practical exercises | Evaluate approaches to number systems | Communicate findings about second-order linear equations</t>
        </is>
      </c>
      <c r="N37" s="3" t="inlineStr">
        <is>
          <t>numerical methods | Laplace transforms | mathematical modeling | systems of equations | number systems | second-order linear equations | improper integrals | series solutions</t>
        </is>
      </c>
      <c r="O37" s="6" t="inlineStr">
        <is>
          <t>CAS MA 226</t>
        </is>
      </c>
      <c r="P37" s="6" t="n">
        <v>0.75</v>
      </c>
      <c r="Q37" s="6" t="inlineStr">
        <is>
          <t>Evaluator decides (50-79%)</t>
        </is>
      </c>
    </row>
    <row r="38">
      <c r="A38" s="6" t="inlineStr">
        <is>
          <t>NEU|MATH 1365</t>
        </is>
      </c>
      <c r="B38" s="6" t="inlineStr">
        <is>
          <t>NEU</t>
        </is>
      </c>
      <c r="C38" s="6" t="inlineStr">
        <is>
          <t>MATH 1365</t>
        </is>
      </c>
      <c r="D38" s="6" t="inlineStr">
        <is>
          <t>Introduction to Mathematical Reasoning</t>
        </is>
      </c>
      <c r="E38" s="6" t="n">
        <v>4</v>
      </c>
      <c r="F38" s="6" t="inlineStr">
        <is>
          <t>Semester</t>
        </is>
      </c>
      <c r="G38" s="6" t="n">
        <v>4</v>
      </c>
      <c r="H38" s="6" t="inlineStr">
        <is>
          <t>Mathematics</t>
        </is>
      </c>
      <c r="I38" s="6" t="inlineStr">
        <is>
          <t>Academic</t>
        </is>
      </c>
      <c r="J38" s="6" t="n">
        <v>100</v>
      </c>
      <c r="K38" s="3" t="inlineStr">
        <is>
          <t>NU catalog course (code/title/credits from hackathon workbook); description, outcomes and topics SYNTHETIC</t>
        </is>
      </c>
      <c r="L38" s="3" t="inlineStr">
        <is>
          <t>Introduction to Mathematical Reasoning. Topics include propositional logic, vector spaces, sets and functions, graph basics and relations; later weeks address recurrence relations, data interpretation and mathematical induction.</t>
        </is>
      </c>
      <c r="M38" s="3" t="inlineStr">
        <is>
          <t>Explain the core ideas of propositional logic | Apply vector spaces to solve standard problems | Analyze problems involving sets and functions | Use graph basics in practical exercises | Evaluate approaches to relations | Communicate findings about recurrence relations</t>
        </is>
      </c>
      <c r="N38" s="3" t="inlineStr">
        <is>
          <t>propositional logic | vector spaces | sets and functions | graph basics | relations | recurrence relations | data interpretation | mathematical induction</t>
        </is>
      </c>
      <c r="O38" s="6" t="inlineStr">
        <is>
          <t>CAS MA 293</t>
        </is>
      </c>
      <c r="P38" s="6" t="n">
        <v>0.75</v>
      </c>
      <c r="Q38" s="6" t="inlineStr">
        <is>
          <t>Evaluator decides (50-79%)</t>
        </is>
      </c>
    </row>
    <row r="39">
      <c r="A39" s="6" t="inlineStr">
        <is>
          <t>NEU|MATH 3081</t>
        </is>
      </c>
      <c r="B39" s="6" t="inlineStr">
        <is>
          <t>NEU</t>
        </is>
      </c>
      <c r="C39" s="6" t="inlineStr">
        <is>
          <t>MATH 3081</t>
        </is>
      </c>
      <c r="D39" s="6" t="inlineStr">
        <is>
          <t>Probability and Statistics</t>
        </is>
      </c>
      <c r="E39" s="6" t="n">
        <v>4</v>
      </c>
      <c r="F39" s="6" t="inlineStr">
        <is>
          <t>Semester</t>
        </is>
      </c>
      <c r="G39" s="6" t="n">
        <v>4</v>
      </c>
      <c r="H39" s="6" t="inlineStr">
        <is>
          <t>Computer Science</t>
        </is>
      </c>
      <c r="I39" s="6" t="inlineStr">
        <is>
          <t>Academic</t>
        </is>
      </c>
      <c r="J39" s="6" t="n">
        <v>300</v>
      </c>
      <c r="K39" s="3" t="inlineStr">
        <is>
          <t>NU catalog course (code/title/credits from hackathon workbook); description, outcomes and topics SYNTHETIC</t>
        </is>
      </c>
      <c r="L39" s="3" t="inlineStr">
        <is>
          <t>Probability and Statistics. Topics include eigenvalues, common distributions, tail bounds, probability axioms and simulation; later weeks address Markov chains, random variables and HTTP basics.</t>
        </is>
      </c>
      <c r="M39" s="3" t="inlineStr">
        <is>
          <t>Explain the core ideas of eigenvalues | Apply common distributions to solve standard problems | Analyze problems involving tail bounds | Use probability axioms in practical exercises | Evaluate approaches to simulation | Communicate findings about Markov chains</t>
        </is>
      </c>
      <c r="N39" s="3" t="inlineStr">
        <is>
          <t>eigenvalues | common distributions | tail bounds | probability axioms | simulation | Markov chains | random variables | HTTP basics</t>
        </is>
      </c>
      <c r="O39" s="6" t="inlineStr">
        <is>
          <t>CAS CS 237</t>
        </is>
      </c>
      <c r="P39" s="6" t="n">
        <v>0.75</v>
      </c>
      <c r="Q39" s="6" t="inlineStr">
        <is>
          <t>Evaluator decides (50-79%)</t>
        </is>
      </c>
    </row>
    <row r="40">
      <c r="A40" s="6" t="inlineStr">
        <is>
          <t>NYU|CSCI-UA 101</t>
        </is>
      </c>
      <c r="B40" s="6" t="inlineStr">
        <is>
          <t>NYU</t>
        </is>
      </c>
      <c r="C40" s="6" t="inlineStr">
        <is>
          <t>CSCI-UA 101</t>
        </is>
      </c>
      <c r="D40" s="6" t="inlineStr">
        <is>
          <t>Intro to Computer Science</t>
        </is>
      </c>
      <c r="E40" s="6" t="n">
        <v>4</v>
      </c>
      <c r="F40" s="6" t="inlineStr">
        <is>
          <t>Semester</t>
        </is>
      </c>
      <c r="G40" s="6" t="n">
        <v>4</v>
      </c>
      <c r="H40" s="6" t="inlineStr">
        <is>
          <t>Computer Science</t>
        </is>
      </c>
      <c r="I40" s="6" t="inlineStr">
        <is>
          <t>Academic</t>
        </is>
      </c>
      <c r="J40" s="6" t="n">
        <v>200</v>
      </c>
      <c r="K40" s="3" t="inlineStr">
        <is>
          <t>NYU catalog course (code/title/credits from hackathon workbook); description, outcomes and topics SYNTHETIC</t>
        </is>
      </c>
      <c r="L40" s="3" t="inlineStr">
        <is>
          <t>Intro to Computer Science. Topics include conditionals and loops, problem decomposition, debugging and testing, lists and strings and functions and parameters; later weeks address file input and output, recursion and variables and expressions.</t>
        </is>
      </c>
      <c r="M40" s="3" t="inlineStr">
        <is>
          <t>Explain the core ideas of conditionals and loops | Apply problem decomposition to solve standard problems | Analyze problems involving debugging and testing | Use lists and strings in practical exercises | Evaluate approaches to functions and parameters | Communicate findings about file input and output</t>
        </is>
      </c>
      <c r="N40" s="3" t="inlineStr">
        <is>
          <t>conditionals and loops | problem decomposition | debugging and testing | lists and strings | functions and parameters | file input and output | recursion | variables and expressions</t>
        </is>
      </c>
      <c r="O40" s="6" t="inlineStr">
        <is>
          <t>CAS CS 111</t>
        </is>
      </c>
      <c r="P40" s="6" t="n">
        <v>1</v>
      </c>
      <c r="Q40" s="6" t="inlineStr">
        <is>
          <t>Equivalent (&gt;=80%)</t>
        </is>
      </c>
    </row>
    <row r="41">
      <c r="A41" s="6" t="inlineStr">
        <is>
          <t>NYU|CSCI-UA 102</t>
        </is>
      </c>
      <c r="B41" s="6" t="inlineStr">
        <is>
          <t>NYU</t>
        </is>
      </c>
      <c r="C41" s="6" t="inlineStr">
        <is>
          <t>CSCI-UA 102</t>
        </is>
      </c>
      <c r="D41" s="6" t="inlineStr">
        <is>
          <t>Data Structures</t>
        </is>
      </c>
      <c r="E41" s="6" t="n">
        <v>4</v>
      </c>
      <c r="F41" s="6" t="inlineStr">
        <is>
          <t>Semester</t>
        </is>
      </c>
      <c r="G41" s="6" t="n">
        <v>4</v>
      </c>
      <c r="H41" s="6" t="inlineStr">
        <is>
          <t>Computer Science</t>
        </is>
      </c>
      <c r="I41" s="6" t="inlineStr">
        <is>
          <t>Academic</t>
        </is>
      </c>
      <c r="J41" s="6" t="n">
        <v>200</v>
      </c>
      <c r="K41" s="3" t="inlineStr">
        <is>
          <t>NYU catalog course (code/title/credits from hackathon workbook); description, outcomes and topics SYNTHETIC</t>
        </is>
      </c>
      <c r="L41" s="3" t="inlineStr">
        <is>
          <t>Data Structures. Topics include binary trees, object-oriented programming, recursion on data structures, sorting algorithms and stacks and queues; later weeks address hash tables, web accessibility and algorithm efficiency.</t>
        </is>
      </c>
      <c r="M41" s="3" t="inlineStr">
        <is>
          <t>Explain the core ideas of binary trees | Apply object-oriented programming to solve standard problems | Analyze problems involving recursion on data structures | Use sorting algorithms in practical exercises | Evaluate approaches to stacks and queues | Communicate findings about hash tables</t>
        </is>
      </c>
      <c r="N41" s="3" t="inlineStr">
        <is>
          <t>binary trees | object-oriented programming | recursion on data structures | sorting algorithms | stacks and queues | hash tables | web accessibility | algorithm efficiency</t>
        </is>
      </c>
      <c r="O41" s="6" t="inlineStr">
        <is>
          <t>CAS CS 112</t>
        </is>
      </c>
      <c r="P41" s="6" t="n">
        <v>0.875</v>
      </c>
      <c r="Q41" s="6" t="inlineStr">
        <is>
          <t>Equivalent (&gt;=80%)</t>
        </is>
      </c>
    </row>
    <row r="42">
      <c r="A42" s="6" t="inlineStr">
        <is>
          <t>NYU|CSCI-UA 201</t>
        </is>
      </c>
      <c r="B42" s="6" t="inlineStr">
        <is>
          <t>NYU</t>
        </is>
      </c>
      <c r="C42" s="6" t="inlineStr">
        <is>
          <t>CSCI-UA 201</t>
        </is>
      </c>
      <c r="D42" s="6" t="inlineStr">
        <is>
          <t>Computer Systems Organization</t>
        </is>
      </c>
      <c r="E42" s="6" t="n">
        <v>4</v>
      </c>
      <c r="F42" s="6" t="inlineStr">
        <is>
          <t>Semester</t>
        </is>
      </c>
      <c r="G42" s="6" t="n">
        <v>4</v>
      </c>
      <c r="H42" s="6" t="inlineStr">
        <is>
          <t>Computer Science</t>
        </is>
      </c>
      <c r="I42" s="6" t="inlineStr">
        <is>
          <t>Academic</t>
        </is>
      </c>
      <c r="J42" s="6" t="n">
        <v>200</v>
      </c>
      <c r="K42" s="3" t="inlineStr">
        <is>
          <t>NYU catalog course (code/title/credits from hackathon workbook); description, outcomes and topics SYNTHETIC</t>
        </is>
      </c>
      <c r="L42" s="3" t="inlineStr">
        <is>
          <t>Computer Systems Organization. Topics include assembly language, processes, memory hierarchy, virtual memory and C programming; later weeks address linking and loading, binary data representation and caches.</t>
        </is>
      </c>
      <c r="M42" s="3" t="inlineStr">
        <is>
          <t>Explain the core ideas of assembly language | Apply processes to solve standard problems | Analyze problems involving memory hierarchy | Use virtual memory in practical exercises | Evaluate approaches to C programming | Communicate findings about linking and loading</t>
        </is>
      </c>
      <c r="N42" s="3" t="inlineStr">
        <is>
          <t>assembly language | processes | memory hierarchy | virtual memory | C programming | linking and loading | binary data representation | caches</t>
        </is>
      </c>
      <c r="O42" s="6" t="inlineStr">
        <is>
          <t>CAS CS 210</t>
        </is>
      </c>
      <c r="P42" s="6" t="n">
        <v>1</v>
      </c>
      <c r="Q42" s="6" t="inlineStr">
        <is>
          <t>Equivalent (&gt;=80%)</t>
        </is>
      </c>
    </row>
    <row r="43">
      <c r="A43" s="6" t="inlineStr">
        <is>
          <t>NYU|CSCI-UA 202</t>
        </is>
      </c>
      <c r="B43" s="6" t="inlineStr">
        <is>
          <t>NYU</t>
        </is>
      </c>
      <c r="C43" s="6" t="inlineStr">
        <is>
          <t>CSCI-UA 202</t>
        </is>
      </c>
      <c r="D43" s="6" t="inlineStr">
        <is>
          <t>Operating Systems</t>
        </is>
      </c>
      <c r="E43" s="6" t="n">
        <v>4</v>
      </c>
      <c r="F43" s="6" t="inlineStr">
        <is>
          <t>Semester</t>
        </is>
      </c>
      <c r="G43" s="6" t="n">
        <v>4</v>
      </c>
      <c r="H43" s="6" t="inlineStr">
        <is>
          <t>Computer Science</t>
        </is>
      </c>
      <c r="I43" s="6" t="inlineStr">
        <is>
          <t>Academic</t>
        </is>
      </c>
      <c r="J43" s="6" t="n">
        <v>200</v>
      </c>
      <c r="K43" s="3" t="inlineStr">
        <is>
          <t>NYU catalog course (code/title/credits from hackathon workbook); description, outcomes and topics SYNTHETIC</t>
        </is>
      </c>
      <c r="L43" s="3" t="inlineStr">
        <is>
          <t>Operating Systems. Topics include operating system design, synchronization, resource management, performance analysis and scheduling; later weeks address concurrency, distributed coordination and queueing models.</t>
        </is>
      </c>
      <c r="M43" s="3" t="inlineStr">
        <is>
          <t>Explain the core ideas of operating system design | Apply synchronization to solve standard problems | Analyze problems involving resource management | Use performance analysis in practical exercises | Evaluate approaches to scheduling | Communicate findings about concurrency</t>
        </is>
      </c>
      <c r="N43" s="3" t="inlineStr">
        <is>
          <t>operating system design | synchronization | resource management | performance analysis | scheduling | concurrency | distributed coordination | queueing models</t>
        </is>
      </c>
      <c r="O43" s="6" t="inlineStr">
        <is>
          <t>CAS CS 350</t>
        </is>
      </c>
      <c r="P43" s="6" t="n">
        <v>1</v>
      </c>
      <c r="Q43" s="6" t="inlineStr">
        <is>
          <t>Equivalent (&gt;=80%)</t>
        </is>
      </c>
    </row>
    <row r="44">
      <c r="A44" s="6" t="inlineStr">
        <is>
          <t>NYU|CSCI-UA 310</t>
        </is>
      </c>
      <c r="B44" s="6" t="inlineStr">
        <is>
          <t>NYU</t>
        </is>
      </c>
      <c r="C44" s="6" t="inlineStr">
        <is>
          <t>CSCI-UA 310</t>
        </is>
      </c>
      <c r="D44" s="6" t="inlineStr">
        <is>
          <t>Basic Algorithms</t>
        </is>
      </c>
      <c r="E44" s="6" t="n">
        <v>4</v>
      </c>
      <c r="F44" s="6" t="inlineStr">
        <is>
          <t>Semester</t>
        </is>
      </c>
      <c r="G44" s="6" t="n">
        <v>4</v>
      </c>
      <c r="H44" s="6" t="inlineStr">
        <is>
          <t>Computer Science</t>
        </is>
      </c>
      <c r="I44" s="6" t="inlineStr">
        <is>
          <t>Academic</t>
        </is>
      </c>
      <c r="J44" s="6" t="n">
        <v>300</v>
      </c>
      <c r="K44" s="3" t="inlineStr">
        <is>
          <t>NYU catalog course (code/title/credits from hackathon workbook); description, outcomes and topics SYNTHETIC</t>
        </is>
      </c>
      <c r="L44" s="3" t="inlineStr">
        <is>
          <t>Basic Algorithms. Topics include graph algorithms, asymptotic analysis, NP-completeness, network flow and shortest paths; later weeks address divide and conquer, client-server model and greedy algorithms.</t>
        </is>
      </c>
      <c r="M44" s="3" t="inlineStr">
        <is>
          <t>Explain the core ideas of graph algorithms | Apply asymptotic analysis to solve standard problems | Analyze problems involving NP-completeness | Use network flow in practical exercises | Evaluate approaches to shortest paths | Communicate findings about divide and conquer</t>
        </is>
      </c>
      <c r="N44" s="3" t="inlineStr">
        <is>
          <t>graph algorithms | asymptotic analysis | NP-completeness | network flow | shortest paths | divide and conquer | client-server model | greedy algorithms</t>
        </is>
      </c>
      <c r="O44" s="6" t="inlineStr">
        <is>
          <t>CAS CS 330</t>
        </is>
      </c>
      <c r="P44" s="6" t="n">
        <v>0.875</v>
      </c>
      <c r="Q44" s="6" t="inlineStr">
        <is>
          <t>Equivalent (&gt;=80%)</t>
        </is>
      </c>
    </row>
    <row r="45">
      <c r="A45" s="6" t="inlineStr">
        <is>
          <t>NYU|CSCI-UA 453</t>
        </is>
      </c>
      <c r="B45" s="6" t="inlineStr">
        <is>
          <t>NYU</t>
        </is>
      </c>
      <c r="C45" s="6" t="inlineStr">
        <is>
          <t>CSCI-UA 453</t>
        </is>
      </c>
      <c r="D45" s="6" t="inlineStr">
        <is>
          <t>Theory of Computation</t>
        </is>
      </c>
      <c r="E45" s="6" t="n">
        <v>4</v>
      </c>
      <c r="F45" s="6" t="inlineStr">
        <is>
          <t>Semester</t>
        </is>
      </c>
      <c r="G45" s="6" t="n">
        <v>4</v>
      </c>
      <c r="H45" s="6" t="inlineStr">
        <is>
          <t>Computer Science</t>
        </is>
      </c>
      <c r="I45" s="6" t="inlineStr">
        <is>
          <t>Academic</t>
        </is>
      </c>
      <c r="J45" s="6" t="n">
        <v>300</v>
      </c>
      <c r="K45" s="3" t="inlineStr">
        <is>
          <t>NYU catalog course (code/title/credits from hackathon workbook); description, outcomes and topics SYNTHETIC</t>
        </is>
      </c>
      <c r="L45" s="3" t="inlineStr">
        <is>
          <t>Theory of Computation. Topics include reductions, complexity classes, decidability, context-free grammars and finite automata; later weeks address regular languages, Turing machines and pushdown automata.</t>
        </is>
      </c>
      <c r="M45" s="3" t="inlineStr">
        <is>
          <t>Explain the core ideas of reductions | Apply complexity classes to solve standard problems | Analyze problems involving decidability | Use context-free grammars in practical exercises | Evaluate approaches to finite automata | Communicate findings about regular languages</t>
        </is>
      </c>
      <c r="N45" s="3" t="inlineStr">
        <is>
          <t>reductions | complexity classes | decidability | context-free grammars | finite automata | regular languages | Turing machines | pushdown automata</t>
        </is>
      </c>
      <c r="O45" s="6" t="inlineStr">
        <is>
          <t>CAS CS 332</t>
        </is>
      </c>
      <c r="P45" s="6" t="n">
        <v>1</v>
      </c>
      <c r="Q45" s="6" t="inlineStr">
        <is>
          <t>Equivalent (&gt;=80%)</t>
        </is>
      </c>
    </row>
    <row r="46">
      <c r="A46" s="6" t="inlineStr">
        <is>
          <t>NYU|MATH-UA 120</t>
        </is>
      </c>
      <c r="B46" s="6" t="inlineStr">
        <is>
          <t>NYU</t>
        </is>
      </c>
      <c r="C46" s="6" t="inlineStr">
        <is>
          <t>MATH-UA 120</t>
        </is>
      </c>
      <c r="D46" s="6" t="inlineStr">
        <is>
          <t>Discrete Mathematics</t>
        </is>
      </c>
      <c r="E46" s="6" t="n">
        <v>4</v>
      </c>
      <c r="F46" s="6" t="inlineStr">
        <is>
          <t>Semester</t>
        </is>
      </c>
      <c r="G46" s="6" t="n">
        <v>4</v>
      </c>
      <c r="H46" s="6" t="inlineStr">
        <is>
          <t>Computer Science</t>
        </is>
      </c>
      <c r="I46" s="6" t="inlineStr">
        <is>
          <t>Academic</t>
        </is>
      </c>
      <c r="J46" s="6" t="n">
        <v>200</v>
      </c>
      <c r="K46" s="3" t="inlineStr">
        <is>
          <t>NYU catalog course (code/title/credits from hackathon workbook); description, outcomes and topics SYNTHETIC</t>
        </is>
      </c>
      <c r="L46" s="3" t="inlineStr">
        <is>
          <t>Discrete Mathematics. Topics include relations, propositional logic, sets and functions, discrete probability and mathematical induction; later weeks address anomaly detection, counting principles and graph basics.</t>
        </is>
      </c>
      <c r="M46" s="3" t="inlineStr">
        <is>
          <t>Explain the core ideas of relations | Apply propositional logic to solve standard problems | Analyze problems involving sets and functions | Use discrete probability in practical exercises | Evaluate approaches to mathematical induction | Communicate findings about anomaly detection</t>
        </is>
      </c>
      <c r="N46" s="3" t="inlineStr">
        <is>
          <t>relations | propositional logic | sets and functions | discrete probability | mathematical induction | anomaly detection | counting principles | graph basics</t>
        </is>
      </c>
      <c r="O46" s="6" t="inlineStr">
        <is>
          <t>CAS CS 131</t>
        </is>
      </c>
      <c r="P46" s="6" t="n">
        <v>0.875</v>
      </c>
      <c r="Q46" s="6" t="inlineStr">
        <is>
          <t>Equivalent (&gt;=80%)</t>
        </is>
      </c>
    </row>
    <row r="47">
      <c r="A47" s="6" t="inlineStr">
        <is>
          <t>NYU|ECON-UA 2</t>
        </is>
      </c>
      <c r="B47" s="6" t="inlineStr">
        <is>
          <t>NYU</t>
        </is>
      </c>
      <c r="C47" s="6" t="inlineStr">
        <is>
          <t>ECON-UA 2</t>
        </is>
      </c>
      <c r="D47" s="6" t="inlineStr">
        <is>
          <t>Introduction to Microeconomics</t>
        </is>
      </c>
      <c r="E47" s="6" t="n">
        <v>4</v>
      </c>
      <c r="F47" s="6" t="inlineStr">
        <is>
          <t>Semester</t>
        </is>
      </c>
      <c r="G47" s="6" t="n">
        <v>4</v>
      </c>
      <c r="H47" s="6" t="inlineStr">
        <is>
          <t>Economics</t>
        </is>
      </c>
      <c r="I47" s="6" t="inlineStr">
        <is>
          <t>Academic</t>
        </is>
      </c>
      <c r="J47" s="6" t="n">
        <v>100</v>
      </c>
      <c r="K47" s="3" t="inlineStr">
        <is>
          <t>NYU catalog course (code/title/credits from hackathon workbook); description, outcomes and topics SYNTHETIC</t>
        </is>
      </c>
      <c r="L47" s="3" t="inlineStr">
        <is>
          <t>Introduction to Microeconomics. Topics include monopoly, production and costs, scarcity and opportunity cost, supply and demand and elasticity; later weeks address consumer choice, perfect competition and trade and inequality.</t>
        </is>
      </c>
      <c r="M47" s="3" t="inlineStr">
        <is>
          <t>Explain the core ideas of monopoly | Apply production and costs to solve standard problems | Analyze problems involving scarcity and opportunity cost | Use supply and demand in practical exercises | Evaluate approaches to elasticity | Communicate findings about consumer choice</t>
        </is>
      </c>
      <c r="N47" s="3" t="inlineStr">
        <is>
          <t>monopoly | production and costs | scarcity and opportunity cost | supply and demand | elasticity | consumer choice | perfect competition | trade and inequality</t>
        </is>
      </c>
      <c r="O47" s="6" t="inlineStr">
        <is>
          <t>CAS EC 101</t>
        </is>
      </c>
      <c r="P47" s="6" t="n">
        <v>0.875</v>
      </c>
      <c r="Q47" s="6" t="inlineStr">
        <is>
          <t>Equivalent (&gt;=80%)</t>
        </is>
      </c>
    </row>
    <row r="48">
      <c r="A48" s="6" t="inlineStr">
        <is>
          <t>NYU|ECON-UA 1</t>
        </is>
      </c>
      <c r="B48" s="6" t="inlineStr">
        <is>
          <t>NYU</t>
        </is>
      </c>
      <c r="C48" s="6" t="inlineStr">
        <is>
          <t>ECON-UA 1</t>
        </is>
      </c>
      <c r="D48" s="6" t="inlineStr">
        <is>
          <t>Introduction to Macroeconomics</t>
        </is>
      </c>
      <c r="E48" s="6" t="n">
        <v>4</v>
      </c>
      <c r="F48" s="6" t="inlineStr">
        <is>
          <t>Semester</t>
        </is>
      </c>
      <c r="G48" s="6" t="n">
        <v>4</v>
      </c>
      <c r="H48" s="6" t="inlineStr">
        <is>
          <t>Economics</t>
        </is>
      </c>
      <c r="I48" s="6" t="inlineStr">
        <is>
          <t>Academic</t>
        </is>
      </c>
      <c r="J48" s="6" t="n">
        <v>100</v>
      </c>
      <c r="K48" s="3" t="inlineStr">
        <is>
          <t>NYU catalog course (code/title/credits from hackathon workbook); description, outcomes and topics SYNTHETIC</t>
        </is>
      </c>
      <c r="L48" s="3" t="inlineStr">
        <is>
          <t>Introduction to Macroeconomics. Topics include international trade basics, fiscal policy, GDP measurement, unemployment and monetary policy; later weeks address aggregate demand and supply, economic growth and inflation.</t>
        </is>
      </c>
      <c r="M48" s="3" t="inlineStr">
        <is>
          <t>Explain the core ideas of international trade basics | Apply fiscal policy to solve standard problems | Analyze problems involving GDP measurement | Use unemployment in practical exercises | Evaluate approaches to monetary policy | Communicate findings about aggregate demand and supply</t>
        </is>
      </c>
      <c r="N48" s="3" t="inlineStr">
        <is>
          <t>international trade basics | fiscal policy | GDP measurement | unemployment | monetary policy | aggregate demand and supply | economic growth | inflation</t>
        </is>
      </c>
      <c r="O48" s="6" t="inlineStr">
        <is>
          <t>CAS EC 102</t>
        </is>
      </c>
      <c r="P48" s="6" t="n">
        <v>1</v>
      </c>
      <c r="Q48" s="6" t="inlineStr">
        <is>
          <t>Equivalent (&gt;=80%)</t>
        </is>
      </c>
    </row>
    <row r="49">
      <c r="A49" s="6" t="inlineStr">
        <is>
          <t>NYU|ECON-UA 10</t>
        </is>
      </c>
      <c r="B49" s="6" t="inlineStr">
        <is>
          <t>NYU</t>
        </is>
      </c>
      <c r="C49" s="6" t="inlineStr">
        <is>
          <t>ECON-UA 10</t>
        </is>
      </c>
      <c r="D49" s="6" t="inlineStr">
        <is>
          <t>Intermediate Microeconomics</t>
        </is>
      </c>
      <c r="E49" s="6" t="n">
        <v>4</v>
      </c>
      <c r="F49" s="6" t="inlineStr">
        <is>
          <t>Semester</t>
        </is>
      </c>
      <c r="G49" s="6" t="n">
        <v>4</v>
      </c>
      <c r="H49" s="6" t="inlineStr">
        <is>
          <t>Economics</t>
        </is>
      </c>
      <c r="I49" s="6" t="inlineStr">
        <is>
          <t>Academic</t>
        </is>
      </c>
      <c r="J49" s="6" t="n">
        <v>100</v>
      </c>
      <c r="K49" s="3" t="inlineStr">
        <is>
          <t>NYU catalog course (code/title/credits from hackathon workbook); description, outcomes and topics SYNTHETIC</t>
        </is>
      </c>
      <c r="L49" s="3" t="inlineStr">
        <is>
          <t>Intermediate Microeconomics. Topics include human capital, consumer theory, market structures, utility maximization and game theory basics; later weeks address cost minimization, general equilibrium and producer theory.</t>
        </is>
      </c>
      <c r="M49" s="3" t="inlineStr">
        <is>
          <t>Explain the core ideas of human capital | Apply consumer theory to solve standard problems | Analyze problems involving market structures | Use utility maximization in practical exercises | Evaluate approaches to game theory basics | Communicate findings about cost minimization</t>
        </is>
      </c>
      <c r="N49" s="3" t="inlineStr">
        <is>
          <t>human capital | consumer theory | market structures | utility maximization | game theory basics | cost minimization | general equilibrium | producer theory</t>
        </is>
      </c>
      <c r="O49" s="6" t="inlineStr">
        <is>
          <t>CAS EC 201</t>
        </is>
      </c>
      <c r="P49" s="6" t="n">
        <v>0.875</v>
      </c>
      <c r="Q49" s="6" t="inlineStr">
        <is>
          <t>Equivalent (&gt;=80%)</t>
        </is>
      </c>
    </row>
    <row r="50">
      <c r="A50" s="6" t="inlineStr">
        <is>
          <t>NYU|ECON-UA 12</t>
        </is>
      </c>
      <c r="B50" s="6" t="inlineStr">
        <is>
          <t>NYU</t>
        </is>
      </c>
      <c r="C50" s="6" t="inlineStr">
        <is>
          <t>ECON-UA 12</t>
        </is>
      </c>
      <c r="D50" s="6" t="inlineStr">
        <is>
          <t>Intermediate Macroeconomics</t>
        </is>
      </c>
      <c r="E50" s="6" t="n">
        <v>4</v>
      </c>
      <c r="F50" s="6" t="inlineStr">
        <is>
          <t>Semester</t>
        </is>
      </c>
      <c r="G50" s="6" t="n">
        <v>4</v>
      </c>
      <c r="H50" s="6" t="inlineStr">
        <is>
          <t>Economics</t>
        </is>
      </c>
      <c r="I50" s="6" t="inlineStr">
        <is>
          <t>Academic</t>
        </is>
      </c>
      <c r="J50" s="6" t="n">
        <v>100</v>
      </c>
      <c r="K50" s="3" t="inlineStr">
        <is>
          <t>NYU catalog course (code/title/credits from hackathon workbook); description, outcomes and topics SYNTHETIC</t>
        </is>
      </c>
      <c r="L50" s="3" t="inlineStr">
        <is>
          <t>Intermediate Macroeconomics. Topics include investment, long-run growth models, monetary policy rules, business cycles and open-economy macroeconomics; later weeks address labor markets, consumption and saving and IS-LM model.</t>
        </is>
      </c>
      <c r="M50" s="3" t="inlineStr">
        <is>
          <t>Explain the core ideas of investment | Apply long-run growth models to solve standard problems | Analyze problems involving monetary policy rules | Use business cycles in practical exercises | Evaluate approaches to open-economy macroeconomics | Communicate findings about labor markets</t>
        </is>
      </c>
      <c r="N50" s="3" t="inlineStr">
        <is>
          <t>investment | long-run growth models | monetary policy rules | business cycles | open-economy macroeconomics | labor markets | consumption and saving | IS-LM model</t>
        </is>
      </c>
      <c r="O50" s="6" t="inlineStr">
        <is>
          <t>CAS EC 202</t>
        </is>
      </c>
      <c r="P50" s="6" t="n">
        <v>1</v>
      </c>
      <c r="Q50" s="6" t="inlineStr">
        <is>
          <t>Equivalent (&gt;=80%)</t>
        </is>
      </c>
    </row>
    <row r="51">
      <c r="A51" s="6" t="inlineStr">
        <is>
          <t>NYU|ECON-UA 18</t>
        </is>
      </c>
      <c r="B51" s="6" t="inlineStr">
        <is>
          <t>NYU</t>
        </is>
      </c>
      <c r="C51" s="6" t="inlineStr">
        <is>
          <t>ECON-UA 18</t>
        </is>
      </c>
      <c r="D51" s="6" t="inlineStr">
        <is>
          <t>Statistics</t>
        </is>
      </c>
      <c r="E51" s="6" t="n">
        <v>4</v>
      </c>
      <c r="F51" s="6" t="inlineStr">
        <is>
          <t>Semester</t>
        </is>
      </c>
      <c r="G51" s="6" t="n">
        <v>4</v>
      </c>
      <c r="H51" s="6" t="inlineStr">
        <is>
          <t>Economics</t>
        </is>
      </c>
      <c r="I51" s="6" t="inlineStr">
        <is>
          <t>Academic</t>
        </is>
      </c>
      <c r="J51" s="6" t="n">
        <v>100</v>
      </c>
      <c r="K51" s="3" t="inlineStr">
        <is>
          <t>NYU catalog course (code/title/credits from hackathon workbook); description, outcomes and topics SYNTHETIC</t>
        </is>
      </c>
      <c r="L51" s="3" t="inlineStr">
        <is>
          <t>Statistics. Topics include confidence intervals, sampling, statistical software, data interpretation and probability distributions; later weeks address simple regression, descriptive statistics and hypothesis testing.</t>
        </is>
      </c>
      <c r="M51" s="3" t="inlineStr">
        <is>
          <t>Explain the core ideas of confidence intervals | Apply sampling to solve standard problems | Analyze problems involving statistical software | Use data interpretation in practical exercises | Evaluate approaches to probability distributions | Communicate findings about simple regression</t>
        </is>
      </c>
      <c r="N51" s="3" t="inlineStr">
        <is>
          <t>confidence intervals | sampling | statistical software | data interpretation | probability distributions | simple regression | descriptive statistics | hypothesis testing</t>
        </is>
      </c>
      <c r="O51" s="6" t="inlineStr">
        <is>
          <t>CAS EC 203</t>
        </is>
      </c>
      <c r="P51" s="6" t="n">
        <v>1</v>
      </c>
      <c r="Q51" s="6" t="inlineStr">
        <is>
          <t>Equivalent (&gt;=80%)</t>
        </is>
      </c>
    </row>
    <row r="52">
      <c r="A52" s="6" t="inlineStr">
        <is>
          <t>NYU|ECON-UA 266</t>
        </is>
      </c>
      <c r="B52" s="6" t="inlineStr">
        <is>
          <t>NYU</t>
        </is>
      </c>
      <c r="C52" s="6" t="inlineStr">
        <is>
          <t>ECON-UA 266</t>
        </is>
      </c>
      <c r="D52" s="6" t="inlineStr">
        <is>
          <t>Intro to Econometrics</t>
        </is>
      </c>
      <c r="E52" s="6" t="n">
        <v>4</v>
      </c>
      <c r="F52" s="6" t="inlineStr">
        <is>
          <t>Semester</t>
        </is>
      </c>
      <c r="G52" s="6" t="n">
        <v>4</v>
      </c>
      <c r="H52" s="6" t="inlineStr">
        <is>
          <t>Economics</t>
        </is>
      </c>
      <c r="I52" s="6" t="inlineStr">
        <is>
          <t>Academic</t>
        </is>
      </c>
      <c r="J52" s="6" t="n">
        <v>200</v>
      </c>
      <c r="K52" s="3" t="inlineStr">
        <is>
          <t>NYU catalog course (code/title/credits from hackathon workbook); description, outcomes and topics SYNTHETIC</t>
        </is>
      </c>
      <c r="L52" s="3" t="inlineStr">
        <is>
          <t>Intro to Econometrics. Topics include consumer theory, omitted variable bias, climate policy, multiple regression and dummy variables; later weeks address instrumental variables, statistical software and aggregate demand and supply.</t>
        </is>
      </c>
      <c r="M52" s="3" t="inlineStr">
        <is>
          <t>Explain the core ideas of consumer theory | Apply omitted variable bias to solve standard problems | Analyze problems involving climate policy | Use multiple regression in practical exercises | Evaluate approaches to dummy variables | Communicate findings about instrumental variables</t>
        </is>
      </c>
      <c r="N52" s="3" t="inlineStr">
        <is>
          <t>consumer theory | omitted variable bias | climate policy | multiple regression | dummy variables | instrumental variables | statistical software | aggregate demand and supply</t>
        </is>
      </c>
      <c r="O52" s="6" t="inlineStr">
        <is>
          <t>CAS EC 204</t>
        </is>
      </c>
      <c r="P52" s="6" t="n">
        <v>0.625</v>
      </c>
      <c r="Q52" s="6" t="inlineStr">
        <is>
          <t>Evaluator decides (50-79%)</t>
        </is>
      </c>
    </row>
    <row r="53">
      <c r="A53" s="6" t="inlineStr">
        <is>
          <t>NYU|PSYCH-UA 1</t>
        </is>
      </c>
      <c r="B53" s="6" t="inlineStr">
        <is>
          <t>NYU</t>
        </is>
      </c>
      <c r="C53" s="6" t="inlineStr">
        <is>
          <t>PSYCH-UA 1</t>
        </is>
      </c>
      <c r="D53" s="6" t="inlineStr">
        <is>
          <t>Intro to Psychology</t>
        </is>
      </c>
      <c r="E53" s="6" t="n">
        <v>4</v>
      </c>
      <c r="F53" s="6" t="inlineStr">
        <is>
          <t>Semester</t>
        </is>
      </c>
      <c r="G53" s="6" t="n">
        <v>4</v>
      </c>
      <c r="H53" s="6" t="inlineStr">
        <is>
          <t>Psychology</t>
        </is>
      </c>
      <c r="I53" s="6" t="inlineStr">
        <is>
          <t>Academic</t>
        </is>
      </c>
      <c r="J53" s="6" t="n">
        <v>100</v>
      </c>
      <c r="K53" s="3" t="inlineStr">
        <is>
          <t>NYU catalog course (code/title/credits from hackathon workbook); description, outcomes and topics SYNTHETIC</t>
        </is>
      </c>
      <c r="L53" s="3" t="inlineStr">
        <is>
          <t>Intro to Psychology. Topics include memory, sensation and perception, research methods, development and biological bases of behavior; later weeks address psychological disorders, history of psychology and statistical software.</t>
        </is>
      </c>
      <c r="M53" s="3" t="inlineStr">
        <is>
          <t>Explain the core ideas of memory | Apply sensation and perception to solve standard problems | Analyze problems involving research methods | Use development in practical exercises | Evaluate approaches to biological bases of behavior | Communicate findings about psychological disorders</t>
        </is>
      </c>
      <c r="N53" s="3" t="inlineStr">
        <is>
          <t>memory | sensation and perception | research methods | development | biological bases of behavior | psychological disorders | history of psychology | statistical software</t>
        </is>
      </c>
      <c r="O53" s="6" t="inlineStr">
        <is>
          <t>CAS PS 101</t>
        </is>
      </c>
      <c r="P53" s="6" t="n">
        <v>0.875</v>
      </c>
      <c r="Q53" s="6" t="inlineStr">
        <is>
          <t>Equivalent (&gt;=80%)</t>
        </is>
      </c>
    </row>
    <row r="54">
      <c r="A54" s="6" t="inlineStr">
        <is>
          <t>NYU|PSYCH-UA 10</t>
        </is>
      </c>
      <c r="B54" s="6" t="inlineStr">
        <is>
          <t>NYU</t>
        </is>
      </c>
      <c r="C54" s="6" t="inlineStr">
        <is>
          <t>PSYCH-UA 10</t>
        </is>
      </c>
      <c r="D54" s="6" t="inlineStr">
        <is>
          <t>Statistics for the Behavioral Sciences</t>
        </is>
      </c>
      <c r="E54" s="6" t="n">
        <v>4</v>
      </c>
      <c r="F54" s="6" t="inlineStr">
        <is>
          <t>Semester</t>
        </is>
      </c>
      <c r="G54" s="6" t="n">
        <v>4</v>
      </c>
      <c r="H54" s="6" t="inlineStr">
        <is>
          <t>Psychology</t>
        </is>
      </c>
      <c r="I54" s="6" t="inlineStr">
        <is>
          <t>Academic</t>
        </is>
      </c>
      <c r="J54" s="6" t="n">
        <v>100</v>
      </c>
      <c r="K54" s="3" t="inlineStr">
        <is>
          <t>NYU catalog course (code/title/credits from hackathon workbook); description, outcomes and topics SYNTHETIC</t>
        </is>
      </c>
      <c r="L54" s="3" t="inlineStr">
        <is>
          <t>Statistics for the Behavioral Sciences. Topics include hypothesis testing, word recognition, research ethics, APA-style reporting and scientific method; later weeks address correlation and regression, descriptive statistics and circadian rhythms.</t>
        </is>
      </c>
      <c r="M54" s="3" t="inlineStr">
        <is>
          <t>Explain the core ideas of hypothesis testing | Apply word recognition to solve standard problems | Analyze problems involving research ethics | Use APA-style reporting in practical exercises | Evaluate approaches to scientific method | Communicate findings about correlation and regression</t>
        </is>
      </c>
      <c r="N54" s="3" t="inlineStr">
        <is>
          <t>hypothesis testing | word recognition | research ethics | APA-style reporting | scientific method | correlation and regression | descriptive statistics | circadian rhythms</t>
        </is>
      </c>
      <c r="O54" s="6" t="inlineStr">
        <is>
          <t>CAS PS 211</t>
        </is>
      </c>
      <c r="P54" s="6" t="n">
        <v>0.75</v>
      </c>
      <c r="Q54" s="6" t="inlineStr">
        <is>
          <t>Evaluator decides (50-79%)</t>
        </is>
      </c>
    </row>
    <row r="55">
      <c r="A55" s="6" t="inlineStr">
        <is>
          <t>NYU|PSYCH-UA 11</t>
        </is>
      </c>
      <c r="B55" s="6" t="inlineStr">
        <is>
          <t>NYU</t>
        </is>
      </c>
      <c r="C55" s="6" t="inlineStr">
        <is>
          <t>PSYCH-UA 11</t>
        </is>
      </c>
      <c r="D55" s="3" t="inlineStr">
        <is>
          <t>Statistics and Data Analysis for Research in Psychology</t>
        </is>
      </c>
      <c r="E55" s="6" t="n">
        <v>4</v>
      </c>
      <c r="F55" s="6" t="inlineStr">
        <is>
          <t>Semester</t>
        </is>
      </c>
      <c r="G55" s="6" t="n">
        <v>4</v>
      </c>
      <c r="H55" s="6" t="inlineStr">
        <is>
          <t>Psychology</t>
        </is>
      </c>
      <c r="I55" s="6" t="inlineStr">
        <is>
          <t>Academic</t>
        </is>
      </c>
      <c r="J55" s="6" t="n">
        <v>100</v>
      </c>
      <c r="K55" s="3" t="inlineStr">
        <is>
          <t>NYU catalog course (code/title/credits from hackathon workbook); description, outcomes and topics SYNTHETIC</t>
        </is>
      </c>
      <c r="L55" s="3" t="inlineStr">
        <is>
          <t>Statistics and Data Analysis for Research in Psychology. Topics include probability, drug policy, correlation and regression, nonparametric tests and hypothesis testing; later weeks address t-tests and ANOVA, descriptive statistics and statistical software.</t>
        </is>
      </c>
      <c r="M55" s="3" t="inlineStr">
        <is>
          <t>Explain the core ideas of probability | Apply drug policy to solve standard problems | Analyze problems involving correlation and regression | Use nonparametric tests in practical exercises | Evaluate approaches to hypothesis testing | Communicate findings about t-tests and ANOVA</t>
        </is>
      </c>
      <c r="N55" s="3" t="inlineStr">
        <is>
          <t>probability | drug policy | correlation and regression | nonparametric tests | hypothesis testing | t-tests and ANOVA | descriptive statistics | statistical software</t>
        </is>
      </c>
      <c r="O55" s="6" t="inlineStr">
        <is>
          <t>CAS PS 205</t>
        </is>
      </c>
      <c r="P55" s="6" t="n">
        <v>0.875</v>
      </c>
      <c r="Q55" s="6" t="inlineStr">
        <is>
          <t>Equivalent (&gt;=80%)</t>
        </is>
      </c>
    </row>
    <row r="56">
      <c r="A56" s="6" t="inlineStr">
        <is>
          <t>NYU|PSYCH-UA 22</t>
        </is>
      </c>
      <c r="B56" s="6" t="inlineStr">
        <is>
          <t>NYU</t>
        </is>
      </c>
      <c r="C56" s="6" t="inlineStr">
        <is>
          <t>PSYCH-UA 22</t>
        </is>
      </c>
      <c r="D56" s="6" t="inlineStr">
        <is>
          <t>Perception</t>
        </is>
      </c>
      <c r="E56" s="6" t="n">
        <v>4</v>
      </c>
      <c r="F56" s="6" t="inlineStr">
        <is>
          <t>Semester</t>
        </is>
      </c>
      <c r="G56" s="6" t="n">
        <v>4</v>
      </c>
      <c r="H56" s="6" t="inlineStr">
        <is>
          <t>Psychology</t>
        </is>
      </c>
      <c r="I56" s="6" t="inlineStr">
        <is>
          <t>Academic</t>
        </is>
      </c>
      <c r="J56" s="6" t="n">
        <v>100</v>
      </c>
      <c r="K56" s="3" t="inlineStr">
        <is>
          <t>NYU catalog course (code/title/credits from hackathon workbook); description, outcomes and topics SYNTHETIC</t>
        </is>
      </c>
      <c r="L56" s="3" t="inlineStr">
        <is>
          <t>Perception. Topics include circadian rhythms, psychophysics, visual system, depth perception and multisensory integration; later weeks address object recognition, color perception and auditory perception.</t>
        </is>
      </c>
      <c r="M56" s="3" t="inlineStr">
        <is>
          <t>Explain the core ideas of circadian rhythms | Apply psychophysics to solve standard problems | Analyze problems involving visual system | Use depth perception in practical exercises | Evaluate approaches to multisensory integration | Communicate findings about object recognition</t>
        </is>
      </c>
      <c r="N56" s="3" t="inlineStr">
        <is>
          <t>circadian rhythms | psychophysics | visual system | depth perception | multisensory integration | object recognition | color perception | auditory perception</t>
        </is>
      </c>
      <c r="O56" s="6" t="inlineStr">
        <is>
          <t>CAS PS 222</t>
        </is>
      </c>
      <c r="P56" s="6" t="n">
        <v>0.875</v>
      </c>
      <c r="Q56" s="6" t="inlineStr">
        <is>
          <t>Equivalent (&gt;=80%)</t>
        </is>
      </c>
    </row>
    <row r="57">
      <c r="A57" s="6" t="inlineStr">
        <is>
          <t>NYU|PSYCH-UA 25</t>
        </is>
      </c>
      <c r="B57" s="6" t="inlineStr">
        <is>
          <t>NYU</t>
        </is>
      </c>
      <c r="C57" s="6" t="inlineStr">
        <is>
          <t>PSYCH-UA 25</t>
        </is>
      </c>
      <c r="D57" s="6" t="inlineStr">
        <is>
          <t>Cognitive Neuroscience</t>
        </is>
      </c>
      <c r="E57" s="6" t="n">
        <v>4</v>
      </c>
      <c r="F57" s="6" t="inlineStr">
        <is>
          <t>Semester</t>
        </is>
      </c>
      <c r="G57" s="6" t="n">
        <v>4</v>
      </c>
      <c r="H57" s="6" t="inlineStr">
        <is>
          <t>Psychology</t>
        </is>
      </c>
      <c r="I57" s="6" t="inlineStr">
        <is>
          <t>Academic</t>
        </is>
      </c>
      <c r="J57" s="6" t="n">
        <v>100</v>
      </c>
      <c r="K57" s="3" t="inlineStr">
        <is>
          <t>NYU catalog course (code/title/credits from hackathon workbook); description, outcomes and topics SYNTHETIC</t>
        </is>
      </c>
      <c r="L57" s="3" t="inlineStr">
        <is>
          <t>Cognitive Neuroscience. Topics include neuroplasticity, anxiety disorders, motor control, brain anatomy and neurons and synapses; later weeks address counseling relationship, emotion and health and sleep.</t>
        </is>
      </c>
      <c r="M57" s="3" t="inlineStr">
        <is>
          <t>Explain the core ideas of neuroplasticity | Apply anxiety disorders to solve standard problems | Analyze problems involving motor control | Use brain anatomy in practical exercises | Evaluate approaches to neurons and synapses | Communicate findings about counseling relationship</t>
        </is>
      </c>
      <c r="N57" s="3" t="inlineStr">
        <is>
          <t>neuroplasticity | anxiety disorders | motor control | brain anatomy | neurons and synapses | counseling relationship | emotion and health | sleep</t>
        </is>
      </c>
      <c r="O57" s="6" t="inlineStr">
        <is>
          <t>CAS PS 231</t>
        </is>
      </c>
      <c r="P57" s="6" t="n">
        <v>0.625</v>
      </c>
      <c r="Q57" s="6" t="inlineStr">
        <is>
          <t>Evaluator decides (50-79%)</t>
        </is>
      </c>
    </row>
    <row r="58">
      <c r="A58" s="6" t="inlineStr">
        <is>
          <t>NYU|PSYCH-UA 29</t>
        </is>
      </c>
      <c r="B58" s="6" t="inlineStr">
        <is>
          <t>NYU</t>
        </is>
      </c>
      <c r="C58" s="6" t="inlineStr">
        <is>
          <t>PSYCH-UA 29</t>
        </is>
      </c>
      <c r="D58" s="6" t="inlineStr">
        <is>
          <t>Cognition</t>
        </is>
      </c>
      <c r="E58" s="6" t="n">
        <v>4</v>
      </c>
      <c r="F58" s="6" t="inlineStr">
        <is>
          <t>Semester</t>
        </is>
      </c>
      <c r="G58" s="6" t="n">
        <v>4</v>
      </c>
      <c r="H58" s="6" t="inlineStr">
        <is>
          <t>Psychology</t>
        </is>
      </c>
      <c r="I58" s="6" t="inlineStr">
        <is>
          <t>Academic</t>
        </is>
      </c>
      <c r="J58" s="6" t="n">
        <v>100</v>
      </c>
      <c r="K58" s="3" t="inlineStr">
        <is>
          <t>NYU catalog course (code/title/credits from hackathon workbook); description, outcomes and topics SYNTHETIC</t>
        </is>
      </c>
      <c r="L58" s="3" t="inlineStr">
        <is>
          <t>Cognition. Topics include problem solving, reasoning, categorization, language and attention; later weeks address long-term memory, working memory and decision making.</t>
        </is>
      </c>
      <c r="M58" s="3" t="inlineStr">
        <is>
          <t>Explain the core ideas of problem solving | Apply reasoning to solve standard problems | Analyze problems involving categorization | Use language in practical exercises | Evaluate approaches to attention | Communicate findings about long-term memory</t>
        </is>
      </c>
      <c r="N58" s="3" t="inlineStr">
        <is>
          <t>problem solving | reasoning | categorization | language | attention | long-term memory | working memory | decision making</t>
        </is>
      </c>
      <c r="O58" s="6" t="inlineStr">
        <is>
          <t>CAS PS 336</t>
        </is>
      </c>
      <c r="P58" s="6" t="n">
        <v>1</v>
      </c>
      <c r="Q58" s="6" t="inlineStr">
        <is>
          <t>Equivalent (&gt;=80%)</t>
        </is>
      </c>
    </row>
    <row r="59">
      <c r="A59" s="6" t="inlineStr">
        <is>
          <t>NYU|PSYCH-UA 30</t>
        </is>
      </c>
      <c r="B59" s="6" t="inlineStr">
        <is>
          <t>NYU</t>
        </is>
      </c>
      <c r="C59" s="6" t="inlineStr">
        <is>
          <t>PSYCH-UA 30</t>
        </is>
      </c>
      <c r="D59" s="6" t="inlineStr">
        <is>
          <t>Personality</t>
        </is>
      </c>
      <c r="E59" s="6" t="n">
        <v>4</v>
      </c>
      <c r="F59" s="6" t="inlineStr">
        <is>
          <t>Semester</t>
        </is>
      </c>
      <c r="G59" s="6" t="n">
        <v>4</v>
      </c>
      <c r="H59" s="6" t="inlineStr">
        <is>
          <t>Psychology</t>
        </is>
      </c>
      <c r="I59" s="6" t="inlineStr">
        <is>
          <t>Academic</t>
        </is>
      </c>
      <c r="J59" s="6" t="n">
        <v>100</v>
      </c>
      <c r="K59" s="3" t="inlineStr">
        <is>
          <t>NYU catalog course (code/title/credits from hackathon workbook); description, outcomes and topics SYNTHETIC</t>
        </is>
      </c>
      <c r="L59" s="3" t="inlineStr">
        <is>
          <t>Personality. Topics include humanistic theory, social-cognitive theory, psychodynamic theory, personality assessment and biological bases of personality; later weeks address culture and personality, personality stability and trait theory.</t>
        </is>
      </c>
      <c r="M59" s="3" t="inlineStr">
        <is>
          <t>Explain the core ideas of humanistic theory | Apply social-cognitive theory to solve standard problems | Analyze problems involving psychodynamic theory | Use personality assessment in practical exercises | Evaluate approaches to biological bases of personality | Communicate findings about culture and personality</t>
        </is>
      </c>
      <c r="N59" s="3" t="inlineStr">
        <is>
          <t>humanistic theory | social-cognitive theory | psychodynamic theory | personality assessment | biological bases of personality | culture and personality | personality stability | trait theory</t>
        </is>
      </c>
      <c r="O59" s="6" t="inlineStr">
        <is>
          <t>CAS PS 251</t>
        </is>
      </c>
      <c r="P59" s="6" t="n">
        <v>1</v>
      </c>
      <c r="Q59" s="6" t="inlineStr">
        <is>
          <t>Equivalent (&gt;=80%)</t>
        </is>
      </c>
    </row>
    <row r="60">
      <c r="A60" s="6" t="inlineStr">
        <is>
          <t>NYU|PSYCH-UA 32</t>
        </is>
      </c>
      <c r="B60" s="6" t="inlineStr">
        <is>
          <t>NYU</t>
        </is>
      </c>
      <c r="C60" s="6" t="inlineStr">
        <is>
          <t>PSYCH-UA 32</t>
        </is>
      </c>
      <c r="D60" s="6" t="inlineStr">
        <is>
          <t>Social Psychology</t>
        </is>
      </c>
      <c r="E60" s="6" t="n">
        <v>4</v>
      </c>
      <c r="F60" s="6" t="inlineStr">
        <is>
          <t>Semester</t>
        </is>
      </c>
      <c r="G60" s="6" t="n">
        <v>4</v>
      </c>
      <c r="H60" s="6" t="inlineStr">
        <is>
          <t>Psychology</t>
        </is>
      </c>
      <c r="I60" s="6" t="inlineStr">
        <is>
          <t>Academic</t>
        </is>
      </c>
      <c r="J60" s="6" t="n">
        <v>100</v>
      </c>
      <c r="K60" s="3" t="inlineStr">
        <is>
          <t>NYU catalog course (code/title/credits from hackathon workbook); description, outcomes and topics SYNTHETIC</t>
        </is>
      </c>
      <c r="L60" s="3" t="inlineStr">
        <is>
          <t>Social Psychology. Topics include social cognition, cultural research methods, attitudes, interpersonal attraction and prejudice; later weeks address prosocial behavior, conformity and group behavior.</t>
        </is>
      </c>
      <c r="M60" s="3" t="inlineStr">
        <is>
          <t>Explain the core ideas of social cognition | Apply cultural research methods to solve standard problems | Analyze problems involving attitudes | Use interpersonal attraction in practical exercises | Evaluate approaches to prejudice | Communicate findings about prosocial behavior</t>
        </is>
      </c>
      <c r="N60" s="3" t="inlineStr">
        <is>
          <t>social cognition | cultural research methods | attitudes | interpersonal attraction | prejudice | prosocial behavior | conformity | group behavior</t>
        </is>
      </c>
      <c r="O60" s="6" t="inlineStr">
        <is>
          <t>CAS PS 261</t>
        </is>
      </c>
      <c r="P60" s="6" t="n">
        <v>0.875</v>
      </c>
      <c r="Q60" s="6" t="inlineStr">
        <is>
          <t>Equivalent (&gt;=80%)</t>
        </is>
      </c>
    </row>
    <row r="61">
      <c r="A61" s="6" t="inlineStr">
        <is>
          <t>NYU|PSYCH-UA 34</t>
        </is>
      </c>
      <c r="B61" s="6" t="inlineStr">
        <is>
          <t>NYU</t>
        </is>
      </c>
      <c r="C61" s="6" t="inlineStr">
        <is>
          <t>PSYCH-UA 34</t>
        </is>
      </c>
      <c r="D61" s="6" t="inlineStr">
        <is>
          <t>Developmental Psychology</t>
        </is>
      </c>
      <c r="E61" s="6" t="n">
        <v>4</v>
      </c>
      <c r="F61" s="6" t="inlineStr">
        <is>
          <t>Semester</t>
        </is>
      </c>
      <c r="G61" s="6" t="n">
        <v>4</v>
      </c>
      <c r="H61" s="6" t="inlineStr">
        <is>
          <t>Psychology</t>
        </is>
      </c>
      <c r="I61" s="6" t="inlineStr">
        <is>
          <t>Academic</t>
        </is>
      </c>
      <c r="J61" s="6" t="n">
        <v>100</v>
      </c>
      <c r="K61" s="3" t="inlineStr">
        <is>
          <t>NYU catalog course (code/title/credits from hackathon workbook); description, outcomes and topics SYNTHETIC</t>
        </is>
      </c>
      <c r="L61" s="3" t="inlineStr">
        <is>
          <t>Developmental Psychology. Topics include developmental research methods, infancy, social development, attachment and prenatal development; later weeks address multisensory integration, adolescence and cognitive development.</t>
        </is>
      </c>
      <c r="M61" s="3" t="inlineStr">
        <is>
          <t>Explain the core ideas of developmental research methods | Apply infancy to solve standard problems | Analyze problems involving social development | Use attachment in practical exercises | Evaluate approaches to prenatal development | Communicate findings about multisensory integration</t>
        </is>
      </c>
      <c r="N61" s="3" t="inlineStr">
        <is>
          <t>developmental research methods | infancy | social development | attachment | prenatal development | multisensory integration | adolescence | cognitive development</t>
        </is>
      </c>
      <c r="O61" s="6" t="inlineStr">
        <is>
          <t>CAS PS 241</t>
        </is>
      </c>
      <c r="P61" s="6" t="n">
        <v>0.875</v>
      </c>
      <c r="Q61" s="6" t="inlineStr">
        <is>
          <t>Equivalent (&gt;=80%)</t>
        </is>
      </c>
    </row>
    <row r="62">
      <c r="A62" s="6" t="inlineStr">
        <is>
          <t>NYU|PSYCH-UA 51</t>
        </is>
      </c>
      <c r="B62" s="6" t="inlineStr">
        <is>
          <t>NYU</t>
        </is>
      </c>
      <c r="C62" s="6" t="inlineStr">
        <is>
          <t>PSYCH-UA 51</t>
        </is>
      </c>
      <c r="D62" s="6" t="inlineStr">
        <is>
          <t>Abnormal Psychology</t>
        </is>
      </c>
      <c r="E62" s="6" t="n">
        <v>4</v>
      </c>
      <c r="F62" s="6" t="inlineStr">
        <is>
          <t>Semester</t>
        </is>
      </c>
      <c r="G62" s="6" t="n">
        <v>4</v>
      </c>
      <c r="H62" s="6" t="inlineStr">
        <is>
          <t>Psychology</t>
        </is>
      </c>
      <c r="I62" s="6" t="inlineStr">
        <is>
          <t>Academic</t>
        </is>
      </c>
      <c r="J62" s="6" t="n">
        <v>100</v>
      </c>
      <c r="K62" s="3" t="inlineStr">
        <is>
          <t>NYU catalog course (code/title/credits from hackathon workbook); description, outcomes and topics SYNTHETIC</t>
        </is>
      </c>
      <c r="L62" s="3" t="inlineStr">
        <is>
          <t>Abnormal Psychology. Topics include schizophrenia, diagnostic classification, substance use disorders, anxiety disorders and personality disorders; later weeks address pain, etiology models and mood disorders.</t>
        </is>
      </c>
      <c r="M62" s="3" t="inlineStr">
        <is>
          <t>Explain the core ideas of schizophrenia | Apply diagnostic classification to solve standard problems | Analyze problems involving substance use disorders | Use anxiety disorders in practical exercises | Evaluate approaches to personality disorders | Communicate findings about pain</t>
        </is>
      </c>
      <c r="N62" s="3" t="inlineStr">
        <is>
          <t>schizophrenia | diagnostic classification | substance use disorders | anxiety disorders | personality disorders | pain | etiology models | mood disorders</t>
        </is>
      </c>
      <c r="O62" s="6" t="inlineStr">
        <is>
          <t>CAS PS 371</t>
        </is>
      </c>
      <c r="P62" s="6" t="n">
        <v>0.875</v>
      </c>
      <c r="Q62" s="6" t="inlineStr">
        <is>
          <t>Equivalent (&gt;=80%)</t>
        </is>
      </c>
    </row>
    <row r="63">
      <c r="A63" s="6" t="inlineStr">
        <is>
          <t>NYU|BIOL-UA 11</t>
        </is>
      </c>
      <c r="B63" s="6" t="inlineStr">
        <is>
          <t>NYU</t>
        </is>
      </c>
      <c r="C63" s="6" t="inlineStr">
        <is>
          <t>BIOL-UA 11</t>
        </is>
      </c>
      <c r="D63" s="6" t="inlineStr">
        <is>
          <t>Principles of Biology I</t>
        </is>
      </c>
      <c r="E63" s="6" t="n">
        <v>4</v>
      </c>
      <c r="F63" s="6" t="inlineStr">
        <is>
          <t>Semester</t>
        </is>
      </c>
      <c r="G63" s="6" t="n">
        <v>4</v>
      </c>
      <c r="H63" s="6" t="inlineStr">
        <is>
          <t>Biology</t>
        </is>
      </c>
      <c r="I63" s="6" t="inlineStr">
        <is>
          <t>Academic</t>
        </is>
      </c>
      <c r="J63" s="6" t="n">
        <v>100</v>
      </c>
      <c r="K63" s="3" t="inlineStr">
        <is>
          <t>NYU catalog course (code/title/credits from hackathon workbook); description, outcomes and topics SYNTHETIC</t>
        </is>
      </c>
      <c r="L63" s="3" t="inlineStr">
        <is>
          <t>Principles of Biology I. Topics include cell structure, scientific method, laboratory techniques, biodiversity and Mendelian genetics; later weeks address chemistry of life, alcohols and ethers and evolution.</t>
        </is>
      </c>
      <c r="M63" s="3" t="inlineStr">
        <is>
          <t>Explain the core ideas of cell structure | Apply scientific method to solve standard problems | Analyze problems involving laboratory techniques | Use biodiversity in practical exercises | Evaluate approaches to Mendelian genetics | Communicate findings about chemistry of life</t>
        </is>
      </c>
      <c r="N63" s="3" t="inlineStr">
        <is>
          <t>cell structure | scientific method | laboratory techniques | biodiversity | Mendelian genetics | chemistry of life | alcohols and ethers | evolution</t>
        </is>
      </c>
      <c r="O63" s="6" t="inlineStr">
        <is>
          <t>CAS BI 107</t>
        </is>
      </c>
      <c r="P63" s="6" t="n">
        <v>0.875</v>
      </c>
      <c r="Q63" s="6" t="inlineStr">
        <is>
          <t>Equivalent (&gt;=80%)</t>
        </is>
      </c>
    </row>
    <row r="64">
      <c r="A64" s="6" t="inlineStr">
        <is>
          <t>NYU|BIOL-UA 12</t>
        </is>
      </c>
      <c r="B64" s="6" t="inlineStr">
        <is>
          <t>NYU</t>
        </is>
      </c>
      <c r="C64" s="6" t="inlineStr">
        <is>
          <t>BIOL-UA 12</t>
        </is>
      </c>
      <c r="D64" s="6" t="inlineStr">
        <is>
          <t>Principles of Biology II</t>
        </is>
      </c>
      <c r="E64" s="6" t="n">
        <v>4</v>
      </c>
      <c r="F64" s="6" t="inlineStr">
        <is>
          <t>Semester</t>
        </is>
      </c>
      <c r="G64" s="6" t="n">
        <v>4</v>
      </c>
      <c r="H64" s="6" t="inlineStr">
        <is>
          <t>Biology</t>
        </is>
      </c>
      <c r="I64" s="6" t="inlineStr">
        <is>
          <t>Academic</t>
        </is>
      </c>
      <c r="J64" s="6" t="n">
        <v>100</v>
      </c>
      <c r="K64" s="3" t="inlineStr">
        <is>
          <t>NYU catalog course (code/title/credits from hackathon workbook); description, outcomes and topics SYNTHETIC</t>
        </is>
      </c>
      <c r="L64" s="3" t="inlineStr">
        <is>
          <t>Principles of Biology II. Topics include gene expression, evolutionary developmental biology, cell division, cell metabolism and laboratory techniques; later weeks address cellular respiration, physiology and photosynthesis.</t>
        </is>
      </c>
      <c r="M64" s="3" t="inlineStr">
        <is>
          <t>Explain the core ideas of gene expression | Apply evolutionary developmental biology to solve standard problems | Analyze problems involving cell division | Use cell metabolism in practical exercises | Evaluate approaches to laboratory techniques | Communicate findings about cellular respiration</t>
        </is>
      </c>
      <c r="N64" s="3" t="inlineStr">
        <is>
          <t>gene expression | evolutionary developmental biology | cell division | cell metabolism | laboratory techniques | cellular respiration | physiology | photosynthesis</t>
        </is>
      </c>
      <c r="O64" s="6" t="inlineStr">
        <is>
          <t>CAS BI 108</t>
        </is>
      </c>
      <c r="P64" s="6" t="n">
        <v>0.875</v>
      </c>
      <c r="Q64" s="6" t="inlineStr">
        <is>
          <t>Equivalent (&gt;=80%)</t>
        </is>
      </c>
    </row>
    <row r="65">
      <c r="A65" s="6" t="inlineStr">
        <is>
          <t>NYU|BIOL-UA 21</t>
        </is>
      </c>
      <c r="B65" s="6" t="inlineStr">
        <is>
          <t>NYU</t>
        </is>
      </c>
      <c r="C65" s="6" t="inlineStr">
        <is>
          <t>BIOL-UA 21</t>
        </is>
      </c>
      <c r="D65" s="6" t="inlineStr">
        <is>
          <t>Molecular and Cell Biology I</t>
        </is>
      </c>
      <c r="E65" s="6" t="n">
        <v>4</v>
      </c>
      <c r="F65" s="6" t="inlineStr">
        <is>
          <t>Semester</t>
        </is>
      </c>
      <c r="G65" s="6" t="n">
        <v>4</v>
      </c>
      <c r="H65" s="6" t="inlineStr">
        <is>
          <t>Biology</t>
        </is>
      </c>
      <c r="I65" s="6" t="inlineStr">
        <is>
          <t>Academic</t>
        </is>
      </c>
      <c r="J65" s="6" t="n">
        <v>100</v>
      </c>
      <c r="K65" s="3" t="inlineStr">
        <is>
          <t>NYU catalog course (code/title/credits from hackathon workbook); description, outcomes and topics SYNTHETIC</t>
        </is>
      </c>
      <c r="L65" s="3" t="inlineStr">
        <is>
          <t>Molecular and Cell Biology I. Topics include protein trafficking, microscopy, membrane structure, cell signaling and gas laws; later weeks address cytoskeleton, lipid metabolism and molecular evolution.</t>
        </is>
      </c>
      <c r="M65" s="3" t="inlineStr">
        <is>
          <t>Explain the core ideas of protein trafficking | Apply microscopy to solve standard problems | Analyze problems involving membrane structure | Use cell signaling in practical exercises | Evaluate approaches to gas laws | Communicate findings about cytoskeleton</t>
        </is>
      </c>
      <c r="N65" s="3" t="inlineStr">
        <is>
          <t>protein trafficking | microscopy | membrane structure | cell signaling | gas laws | cytoskeleton | lipid metabolism | molecular evolution</t>
        </is>
      </c>
      <c r="O65" s="6" t="inlineStr">
        <is>
          <t>CAS BI 203</t>
        </is>
      </c>
      <c r="P65" s="6" t="n">
        <v>0.625</v>
      </c>
      <c r="Q65" s="6" t="inlineStr">
        <is>
          <t>Evaluator decides (50-79%)</t>
        </is>
      </c>
    </row>
    <row r="66">
      <c r="A66" s="6" t="inlineStr">
        <is>
          <t>NYU|BIOL-UA 30</t>
        </is>
      </c>
      <c r="B66" s="6" t="inlineStr">
        <is>
          <t>NYU</t>
        </is>
      </c>
      <c r="C66" s="6" t="inlineStr">
        <is>
          <t>BIOL-UA 30</t>
        </is>
      </c>
      <c r="D66" s="6" t="inlineStr">
        <is>
          <t>Genetics</t>
        </is>
      </c>
      <c r="E66" s="6" t="n">
        <v>4</v>
      </c>
      <c r="F66" s="6" t="inlineStr">
        <is>
          <t>Semester</t>
        </is>
      </c>
      <c r="G66" s="6" t="n">
        <v>4</v>
      </c>
      <c r="H66" s="6" t="inlineStr">
        <is>
          <t>Biology</t>
        </is>
      </c>
      <c r="I66" s="6" t="inlineStr">
        <is>
          <t>Academic</t>
        </is>
      </c>
      <c r="J66" s="6" t="n">
        <v>100</v>
      </c>
      <c r="K66" s="3" t="inlineStr">
        <is>
          <t>NYU catalog course (code/title/credits from hackathon workbook); description, outcomes and topics SYNTHETIC</t>
        </is>
      </c>
      <c r="L66" s="3" t="inlineStr">
        <is>
          <t>Genetics. Topics include Mendelian genetics, mutation, population genetics, genomics and chromosomes; later weeks address gene expression, genetic mapping and DNA replication.</t>
        </is>
      </c>
      <c r="M66" s="3" t="inlineStr">
        <is>
          <t>Explain the core ideas of Mendelian genetics | Apply mutation to solve standard problems | Analyze problems involving population genetics | Use genomics in practical exercises | Evaluate approaches to chromosomes | Communicate findings about gene expression</t>
        </is>
      </c>
      <c r="N66" s="3" t="inlineStr">
        <is>
          <t>Mendelian genetics | mutation | population genetics | genomics | chromosomes | gene expression | genetic mapping | DNA replication</t>
        </is>
      </c>
      <c r="O66" s="6" t="inlineStr">
        <is>
          <t>CAS BI 206</t>
        </is>
      </c>
      <c r="P66" s="6" t="n">
        <v>1</v>
      </c>
      <c r="Q66" s="6" t="inlineStr">
        <is>
          <t>Equivalent (&gt;=80%)</t>
        </is>
      </c>
    </row>
    <row r="67">
      <c r="A67" s="6" t="inlineStr">
        <is>
          <t>NYU|CHEM-UA 125</t>
        </is>
      </c>
      <c r="B67" s="6" t="inlineStr">
        <is>
          <t>NYU</t>
        </is>
      </c>
      <c r="C67" s="6" t="inlineStr">
        <is>
          <t>CHEM-UA 125</t>
        </is>
      </c>
      <c r="D67" s="6" t="inlineStr">
        <is>
          <t>General Chemistry I</t>
        </is>
      </c>
      <c r="E67" s="6" t="n">
        <v>5</v>
      </c>
      <c r="F67" s="6" t="inlineStr">
        <is>
          <t>Semester</t>
        </is>
      </c>
      <c r="G67" s="6" t="n">
        <v>5</v>
      </c>
      <c r="H67" s="6" t="inlineStr">
        <is>
          <t>Biology</t>
        </is>
      </c>
      <c r="I67" s="6" t="inlineStr">
        <is>
          <t>Academic</t>
        </is>
      </c>
      <c r="J67" s="6" t="n">
        <v>200</v>
      </c>
      <c r="K67" s="3" t="inlineStr">
        <is>
          <t>NYU catalog course (code/title/credits from hackathon workbook); description, outcomes and topics SYNTHETIC</t>
        </is>
      </c>
      <c r="L67" s="3" t="inlineStr">
        <is>
          <t>General Chemistry I. Topics include thermochemistry, chemical bonding, solutions, atomic structure and laboratory safety; later weeks address stoichiometry, gas laws and periodic trends.</t>
        </is>
      </c>
      <c r="M67" s="3" t="inlineStr">
        <is>
          <t>Explain the core ideas of thermochemistry | Apply chemical bonding to solve standard problems | Analyze problems involving solutions | Use atomic structure in practical exercises | Evaluate approaches to laboratory safety | Communicate findings about stoichiometry</t>
        </is>
      </c>
      <c r="N67" s="3" t="inlineStr">
        <is>
          <t>thermochemistry | chemical bonding | solutions | atomic structure | laboratory safety | stoichiometry | gas laws | periodic trends</t>
        </is>
      </c>
      <c r="O67" s="6" t="inlineStr">
        <is>
          <t>CAS CH 101</t>
        </is>
      </c>
      <c r="P67" s="6" t="n">
        <v>1</v>
      </c>
      <c r="Q67" s="6" t="inlineStr">
        <is>
          <t>Equivalent (&gt;=80%)</t>
        </is>
      </c>
    </row>
    <row r="68">
      <c r="A68" s="6" t="inlineStr">
        <is>
          <t>NYU|CHEM-UA 126</t>
        </is>
      </c>
      <c r="B68" s="6" t="inlineStr">
        <is>
          <t>NYU</t>
        </is>
      </c>
      <c r="C68" s="6" t="inlineStr">
        <is>
          <t>CHEM-UA 126</t>
        </is>
      </c>
      <c r="D68" s="6" t="inlineStr">
        <is>
          <t>General Chemistry II</t>
        </is>
      </c>
      <c r="E68" s="6" t="n">
        <v>5</v>
      </c>
      <c r="F68" s="6" t="inlineStr">
        <is>
          <t>Semester</t>
        </is>
      </c>
      <c r="G68" s="6" t="n">
        <v>5</v>
      </c>
      <c r="H68" s="6" t="inlineStr">
        <is>
          <t>Biology</t>
        </is>
      </c>
      <c r="I68" s="6" t="inlineStr">
        <is>
          <t>Academic</t>
        </is>
      </c>
      <c r="J68" s="6" t="n">
        <v>200</v>
      </c>
      <c r="K68" s="3" t="inlineStr">
        <is>
          <t>NYU catalog course (code/title/credits from hackathon workbook); description, outcomes and topics SYNTHETIC</t>
        </is>
      </c>
      <c r="L68" s="3" t="inlineStr">
        <is>
          <t>General Chemistry II. Topics include chemical equilibrium, acids and bases, laboratory techniques, buffers and nuclear chemistry; later weeks address thermodynamics, electrochemistry and respiratory system.</t>
        </is>
      </c>
      <c r="M68" s="3" t="inlineStr">
        <is>
          <t>Explain the core ideas of chemical equilibrium | Apply acids and bases to solve standard problems | Analyze problems involving laboratory techniques | Use buffers in practical exercises | Evaluate approaches to nuclear chemistry | Communicate findings about thermodynamics</t>
        </is>
      </c>
      <c r="N68" s="3" t="inlineStr">
        <is>
          <t>chemical equilibrium | acids and bases | laboratory techniques | buffers | nuclear chemistry | thermodynamics | electrochemistry | respiratory system</t>
        </is>
      </c>
      <c r="O68" s="6" t="inlineStr">
        <is>
          <t>CAS CH 102</t>
        </is>
      </c>
      <c r="P68" s="6" t="n">
        <v>0.875</v>
      </c>
      <c r="Q68" s="6" t="inlineStr">
        <is>
          <t>Equivalent (&gt;=80%)</t>
        </is>
      </c>
    </row>
    <row r="69">
      <c r="A69" s="6" t="inlineStr">
        <is>
          <t>NYU|CHEM-UA 225</t>
        </is>
      </c>
      <c r="B69" s="6" t="inlineStr">
        <is>
          <t>NYU</t>
        </is>
      </c>
      <c r="C69" s="6" t="inlineStr">
        <is>
          <t>CHEM-UA 225</t>
        </is>
      </c>
      <c r="D69" s="6" t="inlineStr">
        <is>
          <t>Organic Chemistry I</t>
        </is>
      </c>
      <c r="E69" s="6" t="n">
        <v>5</v>
      </c>
      <c r="F69" s="6" t="inlineStr">
        <is>
          <t>Semester</t>
        </is>
      </c>
      <c r="G69" s="6" t="n">
        <v>5</v>
      </c>
      <c r="H69" s="6" t="inlineStr">
        <is>
          <t>Biology</t>
        </is>
      </c>
      <c r="I69" s="6" t="inlineStr">
        <is>
          <t>Academic</t>
        </is>
      </c>
      <c r="J69" s="6" t="n">
        <v>200</v>
      </c>
      <c r="K69" s="3" t="inlineStr">
        <is>
          <t>NYU catalog course (code/title/credits from hackathon workbook); description, outcomes and topics SYNTHETIC</t>
        </is>
      </c>
      <c r="L69" s="3" t="inlineStr">
        <is>
          <t>Organic Chemistry I. Topics include molecular structure, reaction mechanisms, elimination reactions, substitution reactions and alkenes and alkynes; later weeks address stereochemistry, nomenclature and spectroscopy.</t>
        </is>
      </c>
      <c r="M69" s="3" t="inlineStr">
        <is>
          <t>Explain the core ideas of molecular structure | Apply reaction mechanisms to solve standard problems | Analyze problems involving elimination reactions | Use substitution reactions in practical exercises | Evaluate approaches to alkenes and alkynes | Communicate findings about stereochemistry</t>
        </is>
      </c>
      <c r="N69" s="3" t="inlineStr">
        <is>
          <t>molecular structure | reaction mechanisms | elimination reactions | substitution reactions | alkenes and alkynes | stereochemistry | nomenclature | spectroscopy</t>
        </is>
      </c>
      <c r="O69" s="6" t="inlineStr">
        <is>
          <t>CAS CH 203</t>
        </is>
      </c>
      <c r="P69" s="6" t="n">
        <v>1</v>
      </c>
      <c r="Q69" s="6" t="inlineStr">
        <is>
          <t>Equivalent (&gt;=80%)</t>
        </is>
      </c>
    </row>
    <row r="70">
      <c r="A70" s="6" t="inlineStr">
        <is>
          <t>NYU|CHEM-UA 226</t>
        </is>
      </c>
      <c r="B70" s="6" t="inlineStr">
        <is>
          <t>NYU</t>
        </is>
      </c>
      <c r="C70" s="6" t="inlineStr">
        <is>
          <t>CHEM-UA 226</t>
        </is>
      </c>
      <c r="D70" s="6" t="inlineStr">
        <is>
          <t>Organic Chemistry II</t>
        </is>
      </c>
      <c r="E70" s="6" t="n">
        <v>5</v>
      </c>
      <c r="F70" s="6" t="inlineStr">
        <is>
          <t>Semester</t>
        </is>
      </c>
      <c r="G70" s="6" t="n">
        <v>5</v>
      </c>
      <c r="H70" s="6" t="inlineStr">
        <is>
          <t>Biology</t>
        </is>
      </c>
      <c r="I70" s="6" t="inlineStr">
        <is>
          <t>Academic</t>
        </is>
      </c>
      <c r="J70" s="6" t="n">
        <v>200</v>
      </c>
      <c r="K70" s="3" t="inlineStr">
        <is>
          <t>NYU catalog course (code/title/credits from hackathon workbook); description, outcomes and topics SYNTHETIC</t>
        </is>
      </c>
      <c r="L70" s="3" t="inlineStr">
        <is>
          <t>Organic Chemistry II. Topics include spectroscopy, amines, synthesis planning, alcohols and ethers and carbonyl chemistry; later weeks address aromatic compounds, reaction mechanisms and biomolecules.</t>
        </is>
      </c>
      <c r="M70" s="3" t="inlineStr">
        <is>
          <t>Explain the core ideas of spectroscopy | Apply amines to solve standard problems | Analyze problems involving synthesis planning | Use alcohols and ethers in practical exercises | Evaluate approaches to carbonyl chemistry | Communicate findings about aromatic compounds</t>
        </is>
      </c>
      <c r="N70" s="3" t="inlineStr">
        <is>
          <t>spectroscopy | amines | synthesis planning | alcohols and ethers | carbonyl chemistry | aromatic compounds | reaction mechanisms | biomolecules</t>
        </is>
      </c>
      <c r="O70" s="6" t="inlineStr">
        <is>
          <t>CAS CH 204</t>
        </is>
      </c>
      <c r="P70" s="6" t="n">
        <v>1</v>
      </c>
      <c r="Q70" s="6" t="inlineStr">
        <is>
          <t>Equivalent (&gt;=80%)</t>
        </is>
      </c>
    </row>
    <row r="71">
      <c r="A71" s="6" t="inlineStr">
        <is>
          <t>NYU|MATH-UA 121</t>
        </is>
      </c>
      <c r="B71" s="6" t="inlineStr">
        <is>
          <t>NYU</t>
        </is>
      </c>
      <c r="C71" s="6" t="inlineStr">
        <is>
          <t>MATH-UA 121</t>
        </is>
      </c>
      <c r="D71" s="6" t="inlineStr">
        <is>
          <t>Calculus I</t>
        </is>
      </c>
      <c r="E71" s="6" t="n">
        <v>4</v>
      </c>
      <c r="F71" s="6" t="inlineStr">
        <is>
          <t>Semester</t>
        </is>
      </c>
      <c r="G71" s="6" t="n">
        <v>4</v>
      </c>
      <c r="H71" s="6" t="inlineStr">
        <is>
          <t>Mathematics</t>
        </is>
      </c>
      <c r="I71" s="6" t="inlineStr">
        <is>
          <t>Academic</t>
        </is>
      </c>
      <c r="J71" s="6" t="n">
        <v>200</v>
      </c>
      <c r="K71" s="3" t="inlineStr">
        <is>
          <t>NYU catalog course (code/title/credits from hackathon workbook); description, outcomes and topics SYNTHETIC</t>
        </is>
      </c>
      <c r="L71" s="3" t="inlineStr">
        <is>
          <t>Calculus I. Topics include derivatives, continuity, limits, applications of derivatives and differentiation rules; later weeks address introduction to integrals, optimization and functions.</t>
        </is>
      </c>
      <c r="M71" s="3" t="inlineStr">
        <is>
          <t>Explain the core ideas of derivatives | Apply continuity to solve standard problems | Analyze problems involving limits | Use applications of derivatives in practical exercises | Evaluate approaches to differentiation rules | Communicate findings about introduction to integrals</t>
        </is>
      </c>
      <c r="N71" s="3" t="inlineStr">
        <is>
          <t>derivatives | continuity | limits | applications of derivatives | differentiation rules | introduction to integrals | optimization | functions</t>
        </is>
      </c>
      <c r="O71" s="6" t="inlineStr">
        <is>
          <t>CAS MA 123</t>
        </is>
      </c>
      <c r="P71" s="6" t="n">
        <v>1</v>
      </c>
      <c r="Q71" s="6" t="inlineStr">
        <is>
          <t>Equivalent (&gt;=80%)</t>
        </is>
      </c>
    </row>
    <row r="72">
      <c r="A72" s="6" t="inlineStr">
        <is>
          <t>NYU|MATH-UA 122</t>
        </is>
      </c>
      <c r="B72" s="6" t="inlineStr">
        <is>
          <t>NYU</t>
        </is>
      </c>
      <c r="C72" s="6" t="inlineStr">
        <is>
          <t>MATH-UA 122</t>
        </is>
      </c>
      <c r="D72" s="6" t="inlineStr">
        <is>
          <t>Calculus II</t>
        </is>
      </c>
      <c r="E72" s="6" t="n">
        <v>4</v>
      </c>
      <c r="F72" s="6" t="inlineStr">
        <is>
          <t>Semester</t>
        </is>
      </c>
      <c r="G72" s="6" t="n">
        <v>4</v>
      </c>
      <c r="H72" s="6" t="inlineStr">
        <is>
          <t>Mathematics</t>
        </is>
      </c>
      <c r="I72" s="6" t="inlineStr">
        <is>
          <t>Academic</t>
        </is>
      </c>
      <c r="J72" s="6" t="n">
        <v>200</v>
      </c>
      <c r="K72" s="3" t="inlineStr">
        <is>
          <t>NYU catalog course (code/title/credits from hackathon workbook); description, outcomes and topics SYNTHETIC</t>
        </is>
      </c>
      <c r="L72" s="3" t="inlineStr">
        <is>
          <t>Calculus II. Topics include power series, integration techniques, sequences, improper integrals and applications of integrals; later weeks address convergence tests, series and Taylor series.</t>
        </is>
      </c>
      <c r="M72" s="3" t="inlineStr">
        <is>
          <t>Explain the core ideas of power series | Apply integration techniques to solve standard problems | Analyze problems involving sequences | Use improper integrals in practical exercises | Evaluate approaches to applications of integrals | Communicate findings about convergence tests</t>
        </is>
      </c>
      <c r="N72" s="3" t="inlineStr">
        <is>
          <t>power series | integration techniques | sequences | improper integrals | applications of integrals | convergence tests | series | Taylor series</t>
        </is>
      </c>
      <c r="O72" s="6" t="inlineStr">
        <is>
          <t>CAS MA 124</t>
        </is>
      </c>
      <c r="P72" s="6" t="n">
        <v>1</v>
      </c>
      <c r="Q72" s="6" t="inlineStr">
        <is>
          <t>Equivalent (&gt;=80%)</t>
        </is>
      </c>
    </row>
    <row r="73">
      <c r="A73" s="6" t="inlineStr">
        <is>
          <t>NYU|MATH-UA 123</t>
        </is>
      </c>
      <c r="B73" s="6" t="inlineStr">
        <is>
          <t>NYU</t>
        </is>
      </c>
      <c r="C73" s="6" t="inlineStr">
        <is>
          <t>MATH-UA 123</t>
        </is>
      </c>
      <c r="D73" s="6" t="inlineStr">
        <is>
          <t>Calculus III</t>
        </is>
      </c>
      <c r="E73" s="6" t="n">
        <v>4</v>
      </c>
      <c r="F73" s="6" t="inlineStr">
        <is>
          <t>Semester</t>
        </is>
      </c>
      <c r="G73" s="6" t="n">
        <v>4</v>
      </c>
      <c r="H73" s="6" t="inlineStr">
        <is>
          <t>Mathematics</t>
        </is>
      </c>
      <c r="I73" s="6" t="inlineStr">
        <is>
          <t>Academic</t>
        </is>
      </c>
      <c r="J73" s="6" t="n">
        <v>200</v>
      </c>
      <c r="K73" s="3" t="inlineStr">
        <is>
          <t>NYU catalog course (code/title/credits from hackathon workbook); description, outcomes and topics SYNTHETIC</t>
        </is>
      </c>
      <c r="L73" s="3" t="inlineStr">
        <is>
          <t>Calculus III. Topics include surface integrals, complex numbers, Green's and Stokes' theorems, vector fields and multiple integrals; later weeks address vectors, line integrals and partial derivatives.</t>
        </is>
      </c>
      <c r="M73" s="3" t="inlineStr">
        <is>
          <t>Explain the core ideas of surface integrals | Apply complex numbers to solve standard problems | Analyze problems involving Green's and Stokes' theorems | Use vector fields in practical exercises | Evaluate approaches to multiple integrals | Communicate findings about vectors</t>
        </is>
      </c>
      <c r="N73" s="3" t="inlineStr">
        <is>
          <t>surface integrals | complex numbers | Green's and Stokes' theorems | vector fields | multiple integrals | vectors | line integrals | partial derivatives</t>
        </is>
      </c>
      <c r="O73" s="6" t="inlineStr">
        <is>
          <t>CAS MA 225</t>
        </is>
      </c>
      <c r="P73" s="6" t="n">
        <v>0.875</v>
      </c>
      <c r="Q73" s="6" t="inlineStr">
        <is>
          <t>Equivalent (&gt;=80%)</t>
        </is>
      </c>
    </row>
    <row r="74">
      <c r="A74" s="6" t="inlineStr">
        <is>
          <t>NYU|MATH-UA 140</t>
        </is>
      </c>
      <c r="B74" s="6" t="inlineStr">
        <is>
          <t>NYU</t>
        </is>
      </c>
      <c r="C74" s="6" t="inlineStr">
        <is>
          <t>MATH-UA 140</t>
        </is>
      </c>
      <c r="D74" s="6" t="inlineStr">
        <is>
          <t>Linear Algebra</t>
        </is>
      </c>
      <c r="E74" s="6" t="n">
        <v>4</v>
      </c>
      <c r="F74" s="6" t="inlineStr">
        <is>
          <t>Semester</t>
        </is>
      </c>
      <c r="G74" s="6" t="n">
        <v>4</v>
      </c>
      <c r="H74" s="6" t="inlineStr">
        <is>
          <t>Mathematics</t>
        </is>
      </c>
      <c r="I74" s="6" t="inlineStr">
        <is>
          <t>Academic</t>
        </is>
      </c>
      <c r="J74" s="6" t="n">
        <v>200</v>
      </c>
      <c r="K74" s="3" t="inlineStr">
        <is>
          <t>NYU catalog course (code/title/credits from hackathon workbook); description, outcomes and topics SYNTHETIC</t>
        </is>
      </c>
      <c r="L74" s="3" t="inlineStr">
        <is>
          <t>Linear Algebra. Topics include orthogonality, least squares, linear systems, eigenvalues and linear transformations; later weeks address matrix algebra, determinants and vector spaces.</t>
        </is>
      </c>
      <c r="M74" s="3" t="inlineStr">
        <is>
          <t>Explain the core ideas of orthogonality | Apply least squares to solve standard problems | Analyze problems involving linear systems | Use eigenvalues in practical exercises | Evaluate approaches to linear transformations | Communicate findings about matrix algebra</t>
        </is>
      </c>
      <c r="N74" s="3" t="inlineStr">
        <is>
          <t>orthogonality | least squares | linear systems | eigenvalues | linear transformations | matrix algebra | determinants | vector spaces</t>
        </is>
      </c>
      <c r="O74" s="6" t="inlineStr">
        <is>
          <t>CAS MA 242</t>
        </is>
      </c>
      <c r="P74" s="6" t="n">
        <v>1</v>
      </c>
      <c r="Q74" s="6" t="inlineStr">
        <is>
          <t>Equivalent (&gt;=80%)</t>
        </is>
      </c>
    </row>
    <row r="75">
      <c r="A75" s="6" t="inlineStr">
        <is>
          <t>NYU|MATH-UA 262</t>
        </is>
      </c>
      <c r="B75" s="6" t="inlineStr">
        <is>
          <t>NYU</t>
        </is>
      </c>
      <c r="C75" s="6" t="inlineStr">
        <is>
          <t>MATH-UA 262</t>
        </is>
      </c>
      <c r="D75" s="6" t="inlineStr">
        <is>
          <t>Ordinary Differential Equations</t>
        </is>
      </c>
      <c r="E75" s="6" t="n">
        <v>4</v>
      </c>
      <c r="F75" s="6" t="inlineStr">
        <is>
          <t>Semester</t>
        </is>
      </c>
      <c r="G75" s="6" t="n">
        <v>4</v>
      </c>
      <c r="H75" s="6" t="inlineStr">
        <is>
          <t>Mathematics</t>
        </is>
      </c>
      <c r="I75" s="6" t="inlineStr">
        <is>
          <t>Academic</t>
        </is>
      </c>
      <c r="J75" s="6" t="n">
        <v>200</v>
      </c>
      <c r="K75" s="3" t="inlineStr">
        <is>
          <t>NYU catalog course (code/title/credits from hackathon workbook); description, outcomes and topics SYNTHETIC</t>
        </is>
      </c>
      <c r="L75" s="3" t="inlineStr">
        <is>
          <t>Ordinary Differential Equations. Topics include systems of equations, mathematical modeling, Laplace transforms, stability and numerical methods; later weeks address first-order equations, second-order linear equations and series solutions.</t>
        </is>
      </c>
      <c r="M75" s="3" t="inlineStr">
        <is>
          <t>Explain the core ideas of systems of equations | Apply mathematical modeling to solve standard problems | Analyze problems involving Laplace transforms | Use stability in practical exercises | Evaluate approaches to numerical methods | Communicate findings about first-order equations</t>
        </is>
      </c>
      <c r="N75" s="3" t="inlineStr">
        <is>
          <t>systems of equations | mathematical modeling | Laplace transforms | stability | numerical methods | first-order equations | second-order linear equations | series solutions</t>
        </is>
      </c>
      <c r="O75" s="6" t="inlineStr">
        <is>
          <t>CAS MA 226</t>
        </is>
      </c>
      <c r="P75" s="6" t="n">
        <v>1</v>
      </c>
      <c r="Q75" s="6" t="inlineStr">
        <is>
          <t>Equivalent (&gt;=80%)</t>
        </is>
      </c>
    </row>
    <row r="76">
      <c r="A76" s="6" t="inlineStr">
        <is>
          <t>NYU|MATH-UA 233</t>
        </is>
      </c>
      <c r="B76" s="6" t="inlineStr">
        <is>
          <t>NYU</t>
        </is>
      </c>
      <c r="C76" s="6" t="inlineStr">
        <is>
          <t>MATH-UA 233</t>
        </is>
      </c>
      <c r="D76" s="6" t="inlineStr">
        <is>
          <t>Theory of Probability</t>
        </is>
      </c>
      <c r="E76" s="6" t="n">
        <v>4</v>
      </c>
      <c r="F76" s="6" t="inlineStr">
        <is>
          <t>Semester</t>
        </is>
      </c>
      <c r="G76" s="6" t="n">
        <v>4</v>
      </c>
      <c r="H76" s="6" t="inlineStr">
        <is>
          <t>Mathematics</t>
        </is>
      </c>
      <c r="I76" s="6" t="inlineStr">
        <is>
          <t>Academic</t>
        </is>
      </c>
      <c r="J76" s="6" t="n">
        <v>200</v>
      </c>
      <c r="K76" s="3" t="inlineStr">
        <is>
          <t>NYU catalog course (code/title/credits from hackathon workbook); description, outcomes and topics SYNTHETIC</t>
        </is>
      </c>
      <c r="L76" s="3" t="inlineStr">
        <is>
          <t>Theory of Probability. Topics include probability axioms, expectation and variance, random variables, moment generating functions and conditional probability; later weeks address common distributions, limit theorems and joint distributions.</t>
        </is>
      </c>
      <c r="M76" s="3" t="inlineStr">
        <is>
          <t>Explain the core ideas of probability axioms | Apply expectation and variance to solve standard problems | Analyze problems involving random variables | Use moment generating functions in practical exercises | Evaluate approaches to conditional probability | Communicate findings about common distributions</t>
        </is>
      </c>
      <c r="N76" s="3" t="inlineStr">
        <is>
          <t>probability axioms | expectation and variance | random variables | moment generating functions | conditional probability | common distributions | limit theorems | joint distributions</t>
        </is>
      </c>
      <c r="O76" s="6" t="inlineStr">
        <is>
          <t>CAS MA 581</t>
        </is>
      </c>
      <c r="P76" s="6" t="n">
        <v>1</v>
      </c>
      <c r="Q76" s="6" t="inlineStr">
        <is>
          <t>Equivalent (&gt;=80%)</t>
        </is>
      </c>
    </row>
    <row r="77">
      <c r="A77" s="6" t="inlineStr">
        <is>
          <t>NYU|MATH-UA 235</t>
        </is>
      </c>
      <c r="B77" s="6" t="inlineStr">
        <is>
          <t>NYU</t>
        </is>
      </c>
      <c r="C77" s="6" t="inlineStr">
        <is>
          <t>MATH-UA 235</t>
        </is>
      </c>
      <c r="D77" s="6" t="inlineStr">
        <is>
          <t>Probability &amp; Statistics</t>
        </is>
      </c>
      <c r="E77" s="6" t="n">
        <v>4</v>
      </c>
      <c r="F77" s="6" t="inlineStr">
        <is>
          <t>Semester</t>
        </is>
      </c>
      <c r="G77" s="6" t="n">
        <v>4</v>
      </c>
      <c r="H77" s="6" t="inlineStr">
        <is>
          <t>Mathematics</t>
        </is>
      </c>
      <c r="I77" s="6" t="inlineStr">
        <is>
          <t>Academic</t>
        </is>
      </c>
      <c r="J77" s="6" t="n">
        <v>200</v>
      </c>
      <c r="K77" s="3" t="inlineStr">
        <is>
          <t>NYU catalog course (code/title/credits from hackathon workbook); description, outcomes and topics SYNTHETIC</t>
        </is>
      </c>
      <c r="L77" s="3" t="inlineStr">
        <is>
          <t>Probability &amp; Statistics. Topics include regression basics, descriptive statistics, permutation groups, probability and sampling; later weeks address joint distributions, confidence intervals and common distributions.</t>
        </is>
      </c>
      <c r="M77" s="3" t="inlineStr">
        <is>
          <t>Explain the core ideas of regression basics | Apply descriptive statistics to solve standard problems | Analyze problems involving permutation groups | Use probability in practical exercises | Evaluate approaches to sampling | Communicate findings about joint distributions</t>
        </is>
      </c>
      <c r="N77" s="3" t="inlineStr">
        <is>
          <t>regression basics | descriptive statistics | permutation groups | probability | sampling | joint distributions | confidence intervals | common distributions</t>
        </is>
      </c>
      <c r="O77" s="6" t="inlineStr">
        <is>
          <t>CAS MA 213</t>
        </is>
      </c>
      <c r="P77" s="6" t="n">
        <v>0.75</v>
      </c>
      <c r="Q77" s="6" t="inlineStr">
        <is>
          <t>Evaluator decides (50-79%)</t>
        </is>
      </c>
    </row>
    <row r="78">
      <c r="A78" s="6" t="inlineStr">
        <is>
          <t>NYU|ECON-UA 163</t>
        </is>
      </c>
      <c r="B78" s="6" t="inlineStr">
        <is>
          <t>NYU</t>
        </is>
      </c>
      <c r="C78" s="6" t="inlineStr">
        <is>
          <t>ECON-UA 163</t>
        </is>
      </c>
      <c r="D78" s="6" t="inlineStr">
        <is>
          <t>Money and Banking</t>
        </is>
      </c>
      <c r="E78" s="6" t="n">
        <v>4</v>
      </c>
      <c r="F78" s="6" t="inlineStr">
        <is>
          <t>Semester</t>
        </is>
      </c>
      <c r="G78" s="6" t="n">
        <v>4</v>
      </c>
      <c r="H78" s="6" t="inlineStr">
        <is>
          <t>Economics</t>
        </is>
      </c>
      <c r="I78" s="6" t="inlineStr">
        <is>
          <t>Academic</t>
        </is>
      </c>
      <c r="J78" s="6" t="n">
        <v>200</v>
      </c>
      <c r="K78" s="3" t="inlineStr">
        <is>
          <t>SYNTHETIC course (not in the NU/NYU catalog; invented for test volume)</t>
        </is>
      </c>
      <c r="L78" s="3" t="inlineStr">
        <is>
          <t>Money and Banking. Topics include financial markets, bank regulation, financial crises, money supply and central banking; later weeks address monetary policy, banking system and interest rates.</t>
        </is>
      </c>
      <c r="M78" s="3" t="inlineStr">
        <is>
          <t>Explain the core ideas of financial markets | Apply bank regulation to solve standard problems | Analyze problems involving financial crises | Use money supply in practical exercises | Evaluate approaches to central banking | Communicate findings about monetary policy</t>
        </is>
      </c>
      <c r="N78" s="3" t="inlineStr">
        <is>
          <t>financial markets | bank regulation | financial crises | money supply | central banking | monetary policy | banking system | interest rates</t>
        </is>
      </c>
      <c r="O78" s="6" t="inlineStr">
        <is>
          <t>CAS EC 220</t>
        </is>
      </c>
      <c r="P78" s="6" t="n">
        <v>1</v>
      </c>
      <c r="Q78" s="6" t="inlineStr">
        <is>
          <t>Equivalent (&gt;=80%)</t>
        </is>
      </c>
    </row>
    <row r="79">
      <c r="A79" s="6" t="inlineStr">
        <is>
          <t>NYU|ECON-UA 166</t>
        </is>
      </c>
      <c r="B79" s="6" t="inlineStr">
        <is>
          <t>NYU</t>
        </is>
      </c>
      <c r="C79" s="6" t="inlineStr">
        <is>
          <t>ECON-UA 166</t>
        </is>
      </c>
      <c r="D79" s="6" t="inlineStr">
        <is>
          <t>International Trade</t>
        </is>
      </c>
      <c r="E79" s="6" t="n">
        <v>4</v>
      </c>
      <c r="F79" s="6" t="inlineStr">
        <is>
          <t>Semester</t>
        </is>
      </c>
      <c r="G79" s="6" t="n">
        <v>4</v>
      </c>
      <c r="H79" s="6" t="inlineStr">
        <is>
          <t>Economics</t>
        </is>
      </c>
      <c r="I79" s="6" t="inlineStr">
        <is>
          <t>Academic</t>
        </is>
      </c>
      <c r="J79" s="6" t="n">
        <v>200</v>
      </c>
      <c r="K79" s="3" t="inlineStr">
        <is>
          <t>SYNTHETIC course (not in the NU/NYU catalog; invented for test volume)</t>
        </is>
      </c>
      <c r="L79" s="3" t="inlineStr">
        <is>
          <t>International Trade. Topics include labor demand, trade models, globalization, trade agreements and exchange rates; later weeks address tariffs and quotas, trade and inequality and comparative advantage.</t>
        </is>
      </c>
      <c r="M79" s="3" t="inlineStr">
        <is>
          <t>Explain the core ideas of labor demand | Apply trade models to solve standard problems | Analyze problems involving globalization | Use trade agreements in practical exercises | Evaluate approaches to exchange rates | Communicate findings about tariffs and quotas</t>
        </is>
      </c>
      <c r="N79" s="3" t="inlineStr">
        <is>
          <t>labor demand | trade models | globalization | trade agreements | exchange rates | tariffs and quotas | trade and inequality | comparative advantage</t>
        </is>
      </c>
      <c r="O79" s="6" t="inlineStr">
        <is>
          <t>CAS EC 250</t>
        </is>
      </c>
      <c r="P79" s="6" t="n">
        <v>0.875</v>
      </c>
      <c r="Q79" s="6" t="inlineStr">
        <is>
          <t>Equivalent (&gt;=80%)</t>
        </is>
      </c>
    </row>
    <row r="80">
      <c r="A80" s="6" t="inlineStr">
        <is>
          <t>NYU|ECON-UA 169</t>
        </is>
      </c>
      <c r="B80" s="6" t="inlineStr">
        <is>
          <t>NYU</t>
        </is>
      </c>
      <c r="C80" s="6" t="inlineStr">
        <is>
          <t>ECON-UA 169</t>
        </is>
      </c>
      <c r="D80" s="6" t="inlineStr">
        <is>
          <t>Labor Economics</t>
        </is>
      </c>
      <c r="E80" s="6" t="n">
        <v>4</v>
      </c>
      <c r="F80" s="6" t="inlineStr">
        <is>
          <t>Semester</t>
        </is>
      </c>
      <c r="G80" s="6" t="n">
        <v>4</v>
      </c>
      <c r="H80" s="6" t="inlineStr">
        <is>
          <t>Economics</t>
        </is>
      </c>
      <c r="I80" s="6" t="inlineStr">
        <is>
          <t>Academic</t>
        </is>
      </c>
      <c r="J80" s="6" t="n">
        <v>200</v>
      </c>
      <c r="K80" s="3" t="inlineStr">
        <is>
          <t>SYNTHETIC course (not in the NU/NYU catalog; invented for test volume)</t>
        </is>
      </c>
      <c r="L80" s="3" t="inlineStr">
        <is>
          <t>Labor Economics. Topics include discrimination, natural resources, interest groups, labor supply and human capital; later weeks address unemployment, wage determination and unions.</t>
        </is>
      </c>
      <c r="M80" s="3" t="inlineStr">
        <is>
          <t>Explain the core ideas of discrimination | Apply natural resources to solve standard problems | Analyze problems involving interest groups | Use labor supply in practical exercises | Evaluate approaches to human capital | Communicate findings about unemployment</t>
        </is>
      </c>
      <c r="N80" s="3" t="inlineStr">
        <is>
          <t>discrimination | natural resources | interest groups | labor supply | human capital | unemployment | wage determination | unions</t>
        </is>
      </c>
      <c r="O80" s="6" t="inlineStr">
        <is>
          <t>CAS EC 240</t>
        </is>
      </c>
      <c r="P80" s="6" t="n">
        <v>0.75</v>
      </c>
      <c r="Q80" s="6" t="inlineStr">
        <is>
          <t>Evaluator decides (50-79%)</t>
        </is>
      </c>
    </row>
    <row r="81">
      <c r="A81" s="6" t="inlineStr">
        <is>
          <t>NEU|BIOL 2703</t>
        </is>
      </c>
      <c r="B81" s="6" t="inlineStr">
        <is>
          <t>NEU</t>
        </is>
      </c>
      <c r="C81" s="6" t="inlineStr">
        <is>
          <t>BIOL 2703</t>
        </is>
      </c>
      <c r="D81" s="6" t="inlineStr">
        <is>
          <t>Microbiology</t>
        </is>
      </c>
      <c r="E81" s="6" t="n">
        <v>5</v>
      </c>
      <c r="F81" s="6" t="inlineStr">
        <is>
          <t>Semester</t>
        </is>
      </c>
      <c r="G81" s="6" t="n">
        <v>5</v>
      </c>
      <c r="H81" s="6" t="inlineStr">
        <is>
          <t>Biology</t>
        </is>
      </c>
      <c r="I81" s="6" t="inlineStr">
        <is>
          <t>Academic</t>
        </is>
      </c>
      <c r="J81" s="6" t="n">
        <v>200</v>
      </c>
      <c r="K81" s="3" t="inlineStr">
        <is>
          <t>SYNTHETIC course (not in the NU/NYU catalog; invented for test volume)</t>
        </is>
      </c>
      <c r="L81" s="3" t="inlineStr">
        <is>
          <t>Microbiology. Topics include microbial growth, host-pathogen interactions, aseptic technique, viruses and immunology basics; later weeks address microbial metabolism, microbial cell structure and reproduction.</t>
        </is>
      </c>
      <c r="M81" s="3" t="inlineStr">
        <is>
          <t>Explain the core ideas of microbial growth | Apply host-pathogen interactions to solve standard problems | Analyze problems involving aseptic technique | Use viruses in practical exercises | Evaluate approaches to immunology basics | Communicate findings about microbial metabolism</t>
        </is>
      </c>
      <c r="N81" s="3" t="inlineStr">
        <is>
          <t>microbial growth | host-pathogen interactions | aseptic technique | viruses | immunology basics | microbial metabolism | microbial cell structure | reproduction</t>
        </is>
      </c>
      <c r="O81" s="6" t="inlineStr">
        <is>
          <t>CAS BI 210</t>
        </is>
      </c>
      <c r="P81" s="6" t="n">
        <v>0.875</v>
      </c>
      <c r="Q81" s="6" t="inlineStr">
        <is>
          <t>Equivalent (&gt;=80%)</t>
        </is>
      </c>
    </row>
    <row r="82">
      <c r="A82" s="6" t="inlineStr">
        <is>
          <t>NEU|ECON 2703</t>
        </is>
      </c>
      <c r="B82" s="6" t="inlineStr">
        <is>
          <t>NEU</t>
        </is>
      </c>
      <c r="C82" s="6" t="inlineStr">
        <is>
          <t>ECON 2703</t>
        </is>
      </c>
      <c r="D82" s="6" t="inlineStr">
        <is>
          <t>Capital Flows and Mixed Strategies</t>
        </is>
      </c>
      <c r="E82" s="6" t="n">
        <v>4</v>
      </c>
      <c r="F82" s="6" t="inlineStr">
        <is>
          <t>Semester</t>
        </is>
      </c>
      <c r="G82" s="6" t="n">
        <v>4</v>
      </c>
      <c r="H82" s="6" t="inlineStr">
        <is>
          <t>Economics</t>
        </is>
      </c>
      <c r="I82" s="6" t="inlineStr">
        <is>
          <t>Academic</t>
        </is>
      </c>
      <c r="J82" s="6" t="n">
        <v>200</v>
      </c>
      <c r="K82" s="3" t="inlineStr">
        <is>
          <t>SYNTHETIC course (not in the NU/NYU catalog; invented for test volume)</t>
        </is>
      </c>
      <c r="L82" s="3" t="inlineStr">
        <is>
          <t>Capital Flows and Mixed Strategies. Topics include fiscal federalism, randomized experiments, bank regulation, auctions and mechanism design; later weeks address repeated games, investment and heuristics and biases.</t>
        </is>
      </c>
      <c r="M82" s="3" t="inlineStr">
        <is>
          <t>Explain the core ideas of fiscal federalism | Apply randomized experiments to solve standard problems | Analyze problems involving bank regulation | Use auctions in practical exercises | Evaluate approaches to mechanism design | Communicate findings about repeated games</t>
        </is>
      </c>
      <c r="N82" s="3" t="inlineStr">
        <is>
          <t>fiscal federalism | randomized experiments | bank regulation | auctions | mechanism design | repeated games | investment | heuristics and biases</t>
        </is>
      </c>
      <c r="O82" s="6" t="inlineStr">
        <is>
          <t>CAS EC 280</t>
        </is>
      </c>
      <c r="P82" s="6" t="n">
        <v>0.375</v>
      </c>
      <c r="Q82" s="6" t="inlineStr">
        <is>
          <t>Elective (&lt;50%)</t>
        </is>
      </c>
    </row>
    <row r="83">
      <c r="A83" s="6" t="inlineStr">
        <is>
          <t>NEU|PSYC 3703</t>
        </is>
      </c>
      <c r="B83" s="6" t="inlineStr">
        <is>
          <t>NEU</t>
        </is>
      </c>
      <c r="C83" s="6" t="inlineStr">
        <is>
          <t>PSYC 3703</t>
        </is>
      </c>
      <c r="D83" s="6" t="inlineStr">
        <is>
          <t>Cognitive Neuroscience</t>
        </is>
      </c>
      <c r="E83" s="6" t="n">
        <v>4</v>
      </c>
      <c r="F83" s="6" t="inlineStr">
        <is>
          <t>Semester</t>
        </is>
      </c>
      <c r="G83" s="6" t="n">
        <v>4</v>
      </c>
      <c r="H83" s="6" t="inlineStr">
        <is>
          <t>Psychology</t>
        </is>
      </c>
      <c r="I83" s="6" t="inlineStr">
        <is>
          <t>Academic</t>
        </is>
      </c>
      <c r="J83" s="6" t="n">
        <v>300</v>
      </c>
      <c r="K83" s="3" t="inlineStr">
        <is>
          <t>SYNTHETIC course (not in the NU/NYU catalog; invented for test volume)</t>
        </is>
      </c>
      <c r="L83" s="3" t="inlineStr">
        <is>
          <t>Cognitive Neuroscience. Topics include brain imaging methods, neurons and synapses, executive function, neuroplasticity and memory systems; later weeks address emotion and the brain, attention and biological bases of personality.</t>
        </is>
      </c>
      <c r="M83" s="3" t="inlineStr">
        <is>
          <t>Explain the core ideas of brain imaging methods | Apply neurons and synapses to solve standard problems | Analyze problems involving executive function | Use neuroplasticity in practical exercises | Evaluate approaches to memory systems | Communicate findings about emotion and the brain</t>
        </is>
      </c>
      <c r="N83" s="3" t="inlineStr">
        <is>
          <t>brain imaging methods | neurons and synapses | executive function | neuroplasticity | memory systems | emotion and the brain | attention | biological bases of personality</t>
        </is>
      </c>
      <c r="O83" s="6" t="inlineStr">
        <is>
          <t>CAS PS 320</t>
        </is>
      </c>
      <c r="P83" s="6" t="n">
        <v>0.875</v>
      </c>
      <c r="Q83" s="6" t="inlineStr">
        <is>
          <t>Equivalent (&gt;=80%)</t>
        </is>
      </c>
    </row>
    <row r="84">
      <c r="A84" s="6" t="inlineStr">
        <is>
          <t>NEU|PSYC 1703</t>
        </is>
      </c>
      <c r="B84" s="6" t="inlineStr">
        <is>
          <t>NEU</t>
        </is>
      </c>
      <c r="C84" s="6" t="inlineStr">
        <is>
          <t>PSYC 1703</t>
        </is>
      </c>
      <c r="D84" s="6" t="inlineStr">
        <is>
          <t>Anxiety Disorders and Decision Making</t>
        </is>
      </c>
      <c r="E84" s="6" t="n">
        <v>4</v>
      </c>
      <c r="F84" s="6" t="inlineStr">
        <is>
          <t>Semester</t>
        </is>
      </c>
      <c r="G84" s="6" t="n">
        <v>4</v>
      </c>
      <c r="H84" s="6" t="inlineStr">
        <is>
          <t>Psychology</t>
        </is>
      </c>
      <c r="I84" s="6" t="inlineStr">
        <is>
          <t>Academic</t>
        </is>
      </c>
      <c r="J84" s="6" t="n">
        <v>100</v>
      </c>
      <c r="K84" s="3" t="inlineStr">
        <is>
          <t>SYNTHETIC course (not in the NU/NYU catalog; invented for test volume)</t>
        </is>
      </c>
      <c r="L84" s="3" t="inlineStr">
        <is>
          <t>Anxiety Disorders and Decision Making. Topics include family-based treatment, personality stability, well-being, adult cognition and schizophrenia; later weeks address acculturation, habits and data analysis.</t>
        </is>
      </c>
      <c r="M84" s="3" t="inlineStr">
        <is>
          <t>Explain the core ideas of family-based treatment | Apply personality stability to solve standard problems | Analyze problems involving well-being | Use adult cognition in practical exercises | Evaluate approaches to schizophrenia | Communicate findings about acculturation</t>
        </is>
      </c>
      <c r="N84" s="3" t="inlineStr">
        <is>
          <t>family-based treatment | personality stability | well-being | adult cognition | schizophrenia | acculturation | habits | data analysis</t>
        </is>
      </c>
      <c r="O84" s="6" t="inlineStr">
        <is>
          <t>CAS PS 110</t>
        </is>
      </c>
      <c r="P84" s="6" t="n">
        <v>0.25</v>
      </c>
      <c r="Q84" s="6" t="inlineStr">
        <is>
          <t>Elective (&lt;50%)</t>
        </is>
      </c>
    </row>
    <row r="85">
      <c r="A85" s="6" t="inlineStr">
        <is>
          <t>NEU|BIOL 3703</t>
        </is>
      </c>
      <c r="B85" s="6" t="inlineStr">
        <is>
          <t>NEU</t>
        </is>
      </c>
      <c r="C85" s="6" t="inlineStr">
        <is>
          <t>BIOL 3703</t>
        </is>
      </c>
      <c r="D85" s="6" t="inlineStr">
        <is>
          <t>Antibodies and Stem Cells</t>
        </is>
      </c>
      <c r="E85" s="6" t="n">
        <v>5</v>
      </c>
      <c r="F85" s="6" t="inlineStr">
        <is>
          <t>Semester</t>
        </is>
      </c>
      <c r="G85" s="6" t="n">
        <v>5</v>
      </c>
      <c r="H85" s="6" t="inlineStr">
        <is>
          <t>Biology</t>
        </is>
      </c>
      <c r="I85" s="6" t="inlineStr">
        <is>
          <t>Academic</t>
        </is>
      </c>
      <c r="J85" s="6" t="n">
        <v>300</v>
      </c>
      <c r="K85" s="3" t="inlineStr">
        <is>
          <t>SYNTHETIC course (not in the NU/NYU catalog; invented for test volume)</t>
        </is>
      </c>
      <c r="L85" s="3" t="inlineStr">
        <is>
          <t>Antibodies and Stem Cells. Topics include nomenclature, population ecology, fertilization, integumentary system and pattern formation; later weeks address spectroscopy, thermodynamics and statistics for chemistry.</t>
        </is>
      </c>
      <c r="M85" s="3" t="inlineStr">
        <is>
          <t>Explain the core ideas of nomenclature | Apply population ecology to solve standard problems | Analyze problems involving fertilization | Use integumentary system in practical exercises | Evaluate approaches to pattern formation | Communicate findings about spectroscopy</t>
        </is>
      </c>
      <c r="N85" s="3" t="inlineStr">
        <is>
          <t>nomenclature | population ecology | fertilization | integumentary system | pattern formation | spectroscopy | thermodynamics | statistics for chemistry</t>
        </is>
      </c>
      <c r="O85" s="6" t="inlineStr">
        <is>
          <t>CAS BI 330</t>
        </is>
      </c>
      <c r="P85" s="6" t="n">
        <v>0.25</v>
      </c>
      <c r="Q85" s="6" t="inlineStr">
        <is>
          <t>Elective (&lt;50%)</t>
        </is>
      </c>
    </row>
    <row r="86">
      <c r="A86" s="6" t="inlineStr">
        <is>
          <t>NEU|ECON 3703</t>
        </is>
      </c>
      <c r="B86" s="6" t="inlineStr">
        <is>
          <t>NEU</t>
        </is>
      </c>
      <c r="C86" s="6" t="inlineStr">
        <is>
          <t>ECON 3703</t>
        </is>
      </c>
      <c r="D86" s="6" t="inlineStr">
        <is>
          <t>Financial Economics</t>
        </is>
      </c>
      <c r="E86" s="6" t="n">
        <v>4</v>
      </c>
      <c r="F86" s="6" t="inlineStr">
        <is>
          <t>Semester</t>
        </is>
      </c>
      <c r="G86" s="6" t="n">
        <v>4</v>
      </c>
      <c r="H86" s="6" t="inlineStr">
        <is>
          <t>Economics</t>
        </is>
      </c>
      <c r="I86" s="6" t="inlineStr">
        <is>
          <t>Academic</t>
        </is>
      </c>
      <c r="J86" s="6" t="n">
        <v>300</v>
      </c>
      <c r="K86" s="3" t="inlineStr">
        <is>
          <t>SYNTHETIC course (not in the NU/NYU catalog; invented for test volume)</t>
        </is>
      </c>
      <c r="L86" s="3" t="inlineStr">
        <is>
          <t>Financial Economics. Topics include options, asset pricing, behavioral finance, portfolio theory and carbon pricing; later weeks address public goods, market efficiency and bond markets.</t>
        </is>
      </c>
      <c r="M86" s="3" t="inlineStr">
        <is>
          <t>Explain the core ideas of options | Apply asset pricing to solve standard problems | Analyze problems involving behavioral finance | Use portfolio theory in practical exercises | Evaluate approaches to carbon pricing | Communicate findings about public goods</t>
        </is>
      </c>
      <c r="N86" s="3" t="inlineStr">
        <is>
          <t>options | asset pricing | behavioral finance | portfolio theory | carbon pricing | public goods | market efficiency | bond markets</t>
        </is>
      </c>
      <c r="O86" s="6" t="inlineStr">
        <is>
          <t>CAS EC 325</t>
        </is>
      </c>
      <c r="P86" s="6" t="n">
        <v>0.75</v>
      </c>
      <c r="Q86" s="6" t="inlineStr">
        <is>
          <t>Evaluator decides (50-79%)</t>
        </is>
      </c>
    </row>
    <row r="87">
      <c r="A87" s="6" t="inlineStr">
        <is>
          <t>NEU|BIOL 3706</t>
        </is>
      </c>
      <c r="B87" s="6" t="inlineStr">
        <is>
          <t>NEU</t>
        </is>
      </c>
      <c r="C87" s="6" t="inlineStr">
        <is>
          <t>BIOL 3706</t>
        </is>
      </c>
      <c r="D87" s="6" t="inlineStr">
        <is>
          <t>Aromatic Compounds and Mammals</t>
        </is>
      </c>
      <c r="E87" s="6" t="n">
        <v>5</v>
      </c>
      <c r="F87" s="6" t="inlineStr">
        <is>
          <t>Semester</t>
        </is>
      </c>
      <c r="G87" s="6" t="n">
        <v>5</v>
      </c>
      <c r="H87" s="6" t="inlineStr">
        <is>
          <t>Biology</t>
        </is>
      </c>
      <c r="I87" s="6" t="inlineStr">
        <is>
          <t>Academic</t>
        </is>
      </c>
      <c r="J87" s="6" t="n">
        <v>300</v>
      </c>
      <c r="K87" s="3" t="inlineStr">
        <is>
          <t>SYNTHETIC course (not in the NU/NYU catalog; invented for test volume)</t>
        </is>
      </c>
      <c r="L87" s="3" t="inlineStr">
        <is>
          <t>Aromatic Compounds and Mammals. Topics include innate immunity, cell metabolism, comparative anatomy, mammals and evolution; later weeks address field methods, birds and cell division.</t>
        </is>
      </c>
      <c r="M87" s="3" t="inlineStr">
        <is>
          <t>Explain the core ideas of innate immunity | Apply cell metabolism to solve standard problems | Analyze problems involving comparative anatomy | Use mammals in practical exercises | Evaluate approaches to evolution | Communicate findings about field methods</t>
        </is>
      </c>
      <c r="N87" s="3" t="inlineStr">
        <is>
          <t>innate immunity | cell metabolism | comparative anatomy | mammals | evolution | field methods | birds | cell division</t>
        </is>
      </c>
      <c r="O87" s="6" t="inlineStr">
        <is>
          <t>CAS BI 302</t>
        </is>
      </c>
      <c r="P87" s="6" t="n">
        <v>0.375</v>
      </c>
      <c r="Q87" s="6" t="inlineStr">
        <is>
          <t>Elective (&lt;50%)</t>
        </is>
      </c>
    </row>
    <row r="88">
      <c r="A88" s="6" t="inlineStr">
        <is>
          <t>NEU|BIOL 3709</t>
        </is>
      </c>
      <c r="B88" s="6" t="inlineStr">
        <is>
          <t>NEU</t>
        </is>
      </c>
      <c r="C88" s="6" t="inlineStr">
        <is>
          <t>BIOL 3709</t>
        </is>
      </c>
      <c r="D88" s="6" t="inlineStr">
        <is>
          <t>DNA Replication and Communication</t>
        </is>
      </c>
      <c r="E88" s="6" t="n">
        <v>5</v>
      </c>
      <c r="F88" s="6" t="inlineStr">
        <is>
          <t>Semester</t>
        </is>
      </c>
      <c r="G88" s="6" t="n">
        <v>5</v>
      </c>
      <c r="H88" s="6" t="inlineStr">
        <is>
          <t>Biology</t>
        </is>
      </c>
      <c r="I88" s="6" t="inlineStr">
        <is>
          <t>Academic</t>
        </is>
      </c>
      <c r="J88" s="6" t="n">
        <v>300</v>
      </c>
      <c r="K88" s="3" t="inlineStr">
        <is>
          <t>SYNTHETIC course (not in the NU/NYU catalog; invented for test volume)</t>
        </is>
      </c>
      <c r="L88" s="3" t="inlineStr">
        <is>
          <t>DNA Replication and Communication. Topics include neuroplasticity, comparative anatomy, behavioral ecology, scientific method and infectious disease; later weeks address learning, marine conservation and photosynthesis.</t>
        </is>
      </c>
      <c r="M88" s="3" t="inlineStr">
        <is>
          <t>Explain the core ideas of neuroplasticity | Apply comparative anatomy to solve standard problems | Analyze problems involving behavioral ecology | Use scientific method in practical exercises | Evaluate approaches to infectious disease | Communicate findings about learning</t>
        </is>
      </c>
      <c r="N88" s="3" t="inlineStr">
        <is>
          <t>neuroplasticity | comparative anatomy | behavioral ecology | scientific method | infectious disease | learning | marine conservation | photosynthesis</t>
        </is>
      </c>
      <c r="O88" s="6" t="inlineStr">
        <is>
          <t>CAS BI 365</t>
        </is>
      </c>
      <c r="P88" s="6" t="n">
        <v>0.25</v>
      </c>
      <c r="Q88" s="6" t="inlineStr">
        <is>
          <t>Elective (&lt;50%)</t>
        </is>
      </c>
    </row>
    <row r="89">
      <c r="A89" s="6" t="inlineStr">
        <is>
          <t>NEU|PSYC 2703</t>
        </is>
      </c>
      <c r="B89" s="6" t="inlineStr">
        <is>
          <t>NEU</t>
        </is>
      </c>
      <c r="C89" s="6" t="inlineStr">
        <is>
          <t>PSYC 2703</t>
        </is>
      </c>
      <c r="D89" s="6" t="inlineStr">
        <is>
          <t>Anxiety Disorders and Mindfulness</t>
        </is>
      </c>
      <c r="E89" s="6" t="n">
        <v>4</v>
      </c>
      <c r="F89" s="6" t="inlineStr">
        <is>
          <t>Semester</t>
        </is>
      </c>
      <c r="G89" s="6" t="n">
        <v>4</v>
      </c>
      <c r="H89" s="6" t="inlineStr">
        <is>
          <t>Psychology</t>
        </is>
      </c>
      <c r="I89" s="6" t="inlineStr">
        <is>
          <t>Academic</t>
        </is>
      </c>
      <c r="J89" s="6" t="n">
        <v>200</v>
      </c>
      <c r="K89" s="3" t="inlineStr">
        <is>
          <t>SYNTHETIC course (not in the NU/NYU catalog; invented for test volume)</t>
        </is>
      </c>
      <c r="L89" s="3" t="inlineStr">
        <is>
          <t>Anxiety Disorders and Mindfulness. Topics include mindfulness, gratitude, resilience, humanistic theory and interrogation; later weeks address identity formation, brain anatomy and happiness.</t>
        </is>
      </c>
      <c r="M89" s="3" t="inlineStr">
        <is>
          <t>Explain the core ideas of mindfulness | Apply gratitude to solve standard problems | Analyze problems involving resilience | Use humanistic theory in practical exercises | Evaluate approaches to interrogation | Communicate findings about identity formation</t>
        </is>
      </c>
      <c r="N89" s="3" t="inlineStr">
        <is>
          <t>mindfulness | gratitude | resilience | humanistic theory | interrogation | identity formation | brain anatomy | happiness</t>
        </is>
      </c>
      <c r="O89" s="6" t="inlineStr">
        <is>
          <t>CAS PS 280</t>
        </is>
      </c>
      <c r="P89" s="6" t="n">
        <v>0.5</v>
      </c>
      <c r="Q89" s="6" t="inlineStr">
        <is>
          <t>Evaluator decides (50-79%)</t>
        </is>
      </c>
    </row>
    <row r="90">
      <c r="A90" s="6" t="inlineStr">
        <is>
          <t>NEU|ECON 3706</t>
        </is>
      </c>
      <c r="B90" s="6" t="inlineStr">
        <is>
          <t>NEU</t>
        </is>
      </c>
      <c r="C90" s="6" t="inlineStr">
        <is>
          <t>ECON 3706</t>
        </is>
      </c>
      <c r="D90" s="6" t="inlineStr">
        <is>
          <t>Agriculture and Political Cycles</t>
        </is>
      </c>
      <c r="E90" s="6" t="n">
        <v>4</v>
      </c>
      <c r="F90" s="6" t="inlineStr">
        <is>
          <t>Semester</t>
        </is>
      </c>
      <c r="G90" s="6" t="n">
        <v>4</v>
      </c>
      <c r="H90" s="6" t="inlineStr">
        <is>
          <t>Economics</t>
        </is>
      </c>
      <c r="I90" s="6" t="inlineStr">
        <is>
          <t>Academic</t>
        </is>
      </c>
      <c r="J90" s="6" t="n">
        <v>300</v>
      </c>
      <c r="K90" s="3" t="inlineStr">
        <is>
          <t>SYNTHETIC course (not in the NU/NYU catalog; invented for test volume)</t>
        </is>
      </c>
      <c r="L90" s="3" t="inlineStr">
        <is>
          <t>Agriculture and Political Cycles. Topics include interest groups, dummy variables, opportunity cost, diffusion of technology and economic growth; later weeks address corruption, bounded rationality and health insurance.</t>
        </is>
      </c>
      <c r="M90" s="3" t="inlineStr">
        <is>
          <t>Explain the core ideas of interest groups | Apply dummy variables to solve standard problems | Analyze problems involving opportunity cost | Use diffusion of technology in practical exercises | Evaluate approaches to economic growth | Communicate findings about corruption</t>
        </is>
      </c>
      <c r="N90" s="3" t="inlineStr">
        <is>
          <t>interest groups | dummy variables | opportunity cost | diffusion of technology | economic growth | corruption | bounded rationality | health insurance</t>
        </is>
      </c>
      <c r="O90" s="6" t="inlineStr">
        <is>
          <t>CAS EC 355</t>
        </is>
      </c>
      <c r="P90" s="6" t="n">
        <v>0.25</v>
      </c>
      <c r="Q90" s="6" t="inlineStr">
        <is>
          <t>Elective (&lt;50%)</t>
        </is>
      </c>
    </row>
    <row r="91">
      <c r="A91" s="6" t="inlineStr">
        <is>
          <t>NEU|PSYC 3706</t>
        </is>
      </c>
      <c r="B91" s="6" t="inlineStr">
        <is>
          <t>NEU</t>
        </is>
      </c>
      <c r="C91" s="6" t="inlineStr">
        <is>
          <t>PSYC 3706</t>
        </is>
      </c>
      <c r="D91" s="6" t="inlineStr">
        <is>
          <t>Psychology of Emotion</t>
        </is>
      </c>
      <c r="E91" s="6" t="n">
        <v>4</v>
      </c>
      <c r="F91" s="6" t="inlineStr">
        <is>
          <t>Semester</t>
        </is>
      </c>
      <c r="G91" s="6" t="n">
        <v>4</v>
      </c>
      <c r="H91" s="6" t="inlineStr">
        <is>
          <t>Psychology</t>
        </is>
      </c>
      <c r="I91" s="6" t="inlineStr">
        <is>
          <t>Academic</t>
        </is>
      </c>
      <c r="J91" s="6" t="n">
        <v>300</v>
      </c>
      <c r="K91" s="3" t="inlineStr">
        <is>
          <t>SYNTHETIC course (not in the NU/NYU catalog; invented for test volume)</t>
        </is>
      </c>
      <c r="L91" s="3" t="inlineStr">
        <is>
          <t>Psychology of Emotion. Topics include theories of emotion, emotional development, emotion regulation, facial expression and emotion and cognition; later weeks address emotion and health, culture and emotion and emotion and the brain.</t>
        </is>
      </c>
      <c r="M91" s="3" t="inlineStr">
        <is>
          <t>Explain the core ideas of theories of emotion | Apply emotional development to solve standard problems | Analyze problems involving emotion regulation | Use facial expression in practical exercises | Evaluate approaches to emotion and cognition | Communicate findings about emotion and health</t>
        </is>
      </c>
      <c r="N91" s="3" t="inlineStr">
        <is>
          <t>theories of emotion | emotional development | emotion regulation | facial expression | emotion and cognition | emotion and health | culture and emotion | emotion and the brain</t>
        </is>
      </c>
      <c r="O91" s="6" t="inlineStr">
        <is>
          <t>CAS PS 380</t>
        </is>
      </c>
      <c r="P91" s="6" t="n">
        <v>1</v>
      </c>
      <c r="Q91" s="6" t="inlineStr">
        <is>
          <t>Equivalent (&gt;=80%)</t>
        </is>
      </c>
    </row>
    <row r="92">
      <c r="A92" s="6" t="inlineStr">
        <is>
          <t>NEU|CS 3703</t>
        </is>
      </c>
      <c r="B92" s="6" t="inlineStr">
        <is>
          <t>NEU</t>
        </is>
      </c>
      <c r="C92" s="6" t="inlineStr">
        <is>
          <t>CS 3703</t>
        </is>
      </c>
      <c r="D92" s="3" t="inlineStr">
        <is>
          <t>Python Syntax and Knowledge Representation</t>
        </is>
      </c>
      <c r="E92" s="6" t="n">
        <v>4</v>
      </c>
      <c r="F92" s="6" t="inlineStr">
        <is>
          <t>Semester</t>
        </is>
      </c>
      <c r="G92" s="6" t="n">
        <v>4</v>
      </c>
      <c r="H92" s="6" t="inlineStr">
        <is>
          <t>Computer Science</t>
        </is>
      </c>
      <c r="I92" s="6" t="inlineStr">
        <is>
          <t>Academic</t>
        </is>
      </c>
      <c r="J92" s="6" t="n">
        <v>300</v>
      </c>
      <c r="K92" s="3" t="inlineStr">
        <is>
          <t>SYNTHETIC course (not in the NU/NYU catalog; invented for test volume)</t>
        </is>
      </c>
      <c r="L92" s="3" t="inlineStr">
        <is>
          <t>Python Syntax and Knowledge Representation. Topics include planning, SQL queries, knowledge representation, software architecture and basic JavaScript; later weeks address performance analysis, game playing and natural language processing.</t>
        </is>
      </c>
      <c r="M92" s="3" t="inlineStr">
        <is>
          <t>Explain the core ideas of planning | Apply SQL queries to solve standard problems | Analyze problems involving knowledge representation | Use software architecture in practical exercises | Evaluate approaches to basic JavaScript | Communicate findings about performance analysis</t>
        </is>
      </c>
      <c r="N92" s="3" t="inlineStr">
        <is>
          <t>planning | SQL queries | knowledge representation | software architecture | basic JavaScript | performance analysis | game playing | natural language processing</t>
        </is>
      </c>
      <c r="O92" s="6" t="inlineStr">
        <is>
          <t>CAS CS 372</t>
        </is>
      </c>
      <c r="P92" s="6" t="n">
        <v>0.5</v>
      </c>
      <c r="Q92" s="6" t="inlineStr">
        <is>
          <t>Evaluator decides (50-79%)</t>
        </is>
      </c>
    </row>
    <row r="93">
      <c r="A93" s="6" t="inlineStr">
        <is>
          <t>NEU|BIOL 2706</t>
        </is>
      </c>
      <c r="B93" s="6" t="inlineStr">
        <is>
          <t>NEU</t>
        </is>
      </c>
      <c r="C93" s="6" t="inlineStr">
        <is>
          <t>BIOL 2706</t>
        </is>
      </c>
      <c r="D93" s="6" t="inlineStr">
        <is>
          <t>Evolution</t>
        </is>
      </c>
      <c r="E93" s="6" t="n">
        <v>5</v>
      </c>
      <c r="F93" s="6" t="inlineStr">
        <is>
          <t>Semester</t>
        </is>
      </c>
      <c r="G93" s="6" t="n">
        <v>5</v>
      </c>
      <c r="H93" s="6" t="inlineStr">
        <is>
          <t>Biology</t>
        </is>
      </c>
      <c r="I93" s="6" t="inlineStr">
        <is>
          <t>Academic</t>
        </is>
      </c>
      <c r="J93" s="6" t="n">
        <v>200</v>
      </c>
      <c r="K93" s="3" t="inlineStr">
        <is>
          <t>SYNTHETIC course (not in the NU/NYU catalog; invented for test volume)</t>
        </is>
      </c>
      <c r="L93" s="3" t="inlineStr">
        <is>
          <t>Evolution. Topics include natural selection, plant hormones, fishes, adaptation and population genetics; later weeks address speciation, molecular evolution and water resources.</t>
        </is>
      </c>
      <c r="M93" s="3" t="inlineStr">
        <is>
          <t>Explain the core ideas of natural selection | Apply plant hormones to solve standard problems | Analyze problems involving fishes | Use adaptation in practical exercises | Evaluate approaches to population genetics | Communicate findings about speciation</t>
        </is>
      </c>
      <c r="N93" s="3" t="inlineStr">
        <is>
          <t>natural selection | plant hormones | fishes | adaptation | population genetics | speciation | molecular evolution | water resources</t>
        </is>
      </c>
      <c r="O93" s="6" t="inlineStr">
        <is>
          <t>CAS BI 230</t>
        </is>
      </c>
      <c r="P93" s="6" t="n">
        <v>0.625</v>
      </c>
      <c r="Q93" s="6" t="inlineStr">
        <is>
          <t>Evaluator decides (50-79%)</t>
        </is>
      </c>
    </row>
    <row r="94">
      <c r="A94" s="6" t="inlineStr">
        <is>
          <t>NEU|CHEM 1703</t>
        </is>
      </c>
      <c r="B94" s="6" t="inlineStr">
        <is>
          <t>NEU</t>
        </is>
      </c>
      <c r="C94" s="6" t="inlineStr">
        <is>
          <t>CHEM 1703</t>
        </is>
      </c>
      <c r="D94" s="6" t="inlineStr">
        <is>
          <t>Chemistry for Health Sciences</t>
        </is>
      </c>
      <c r="E94" s="6" t="n">
        <v>5</v>
      </c>
      <c r="F94" s="6" t="inlineStr">
        <is>
          <t>Semester</t>
        </is>
      </c>
      <c r="G94" s="6" t="n">
        <v>5</v>
      </c>
      <c r="H94" s="6" t="inlineStr">
        <is>
          <t>Biology</t>
        </is>
      </c>
      <c r="I94" s="6" t="inlineStr">
        <is>
          <t>Academic</t>
        </is>
      </c>
      <c r="J94" s="6" t="n">
        <v>100</v>
      </c>
      <c r="K94" s="3" t="inlineStr">
        <is>
          <t>SYNTHETIC course (not in the NU/NYU catalog; invented for test volume)</t>
        </is>
      </c>
      <c r="L94" s="3" t="inlineStr">
        <is>
          <t>Chemistry for Health Sciences. Topics include acids and bases, atomic structure, chemical bonding, laboratory safety and mathematical modeling; later weeks address metabolism, biomolecules and organic functional groups.</t>
        </is>
      </c>
      <c r="M94" s="3" t="inlineStr">
        <is>
          <t>Explain the core ideas of acids and bases | Apply atomic structure to solve standard problems | Analyze problems involving chemical bonding | Use laboratory safety in practical exercises | Evaluate approaches to mathematical modeling | Communicate findings about metabolism</t>
        </is>
      </c>
      <c r="N94" s="3" t="inlineStr">
        <is>
          <t>acids and bases | atomic structure | chemical bonding | laboratory safety | mathematical modeling | metabolism | biomolecules | organic functional groups</t>
        </is>
      </c>
      <c r="O94" s="6" t="inlineStr">
        <is>
          <t>CAS CH 110</t>
        </is>
      </c>
      <c r="P94" s="6" t="n">
        <v>0.875</v>
      </c>
      <c r="Q94" s="6" t="inlineStr">
        <is>
          <t>Equivalent (&gt;=80%)</t>
        </is>
      </c>
    </row>
    <row r="95">
      <c r="A95" s="6" t="inlineStr">
        <is>
          <t>NEU|ECON 3709</t>
        </is>
      </c>
      <c r="B95" s="6" t="inlineStr">
        <is>
          <t>NEU</t>
        </is>
      </c>
      <c r="C95" s="6" t="inlineStr">
        <is>
          <t>ECON 3709</t>
        </is>
      </c>
      <c r="D95" s="6" t="inlineStr">
        <is>
          <t>GDP Measurement and Entry and Exit</t>
        </is>
      </c>
      <c r="E95" s="6" t="n">
        <v>4</v>
      </c>
      <c r="F95" s="6" t="inlineStr">
        <is>
          <t>Semester</t>
        </is>
      </c>
      <c r="G95" s="6" t="n">
        <v>4</v>
      </c>
      <c r="H95" s="6" t="inlineStr">
        <is>
          <t>Economics</t>
        </is>
      </c>
      <c r="I95" s="6" t="inlineStr">
        <is>
          <t>Academic</t>
        </is>
      </c>
      <c r="J95" s="6" t="n">
        <v>300</v>
      </c>
      <c r="K95" s="3" t="inlineStr">
        <is>
          <t>SYNTHETIC course (not in the NU/NYU catalog; invented for test volume)</t>
        </is>
      </c>
      <c r="L95" s="3" t="inlineStr">
        <is>
          <t>GDP Measurement and Entry and Exit. Topics include agglomeration, adverse selection, pollution regulation, bank regulation and market structures; later weeks address oligopoly, segregation and colonial economy.</t>
        </is>
      </c>
      <c r="M95" s="3" t="inlineStr">
        <is>
          <t>Explain the core ideas of agglomeration | Apply adverse selection to solve standard problems | Analyze problems involving pollution regulation | Use bank regulation in practical exercises | Evaluate approaches to market structures | Communicate findings about oligopoly</t>
        </is>
      </c>
      <c r="N95" s="3" t="inlineStr">
        <is>
          <t>agglomeration | adverse selection | pollution regulation | bank regulation | market structures | oligopoly | segregation | colonial economy</t>
        </is>
      </c>
      <c r="O95" s="6" t="inlineStr">
        <is>
          <t>CAS EC 320</t>
        </is>
      </c>
      <c r="P95" s="6" t="n">
        <v>0.25</v>
      </c>
      <c r="Q95" s="6" t="inlineStr">
        <is>
          <t>Elective (&lt;50%)</t>
        </is>
      </c>
    </row>
    <row r="96">
      <c r="A96" s="6" t="inlineStr">
        <is>
          <t>NEU|MATH 3703</t>
        </is>
      </c>
      <c r="B96" s="6" t="inlineStr">
        <is>
          <t>NEU</t>
        </is>
      </c>
      <c r="C96" s="6" t="inlineStr">
        <is>
          <t>MATH 3703</t>
        </is>
      </c>
      <c r="D96" s="6" t="inlineStr">
        <is>
          <t>Brownian Motion and Constructions</t>
        </is>
      </c>
      <c r="E96" s="6" t="n">
        <v>4</v>
      </c>
      <c r="F96" s="6" t="inlineStr">
        <is>
          <t>Semester</t>
        </is>
      </c>
      <c r="G96" s="6" t="n">
        <v>4</v>
      </c>
      <c r="H96" s="6" t="inlineStr">
        <is>
          <t>Mathematics</t>
        </is>
      </c>
      <c r="I96" s="6" t="inlineStr">
        <is>
          <t>Academic</t>
        </is>
      </c>
      <c r="J96" s="6" t="n">
        <v>300</v>
      </c>
      <c r="K96" s="3" t="inlineStr">
        <is>
          <t>SYNTHETIC course (not in the NU/NYU catalog; invented for test volume)</t>
        </is>
      </c>
      <c r="L96" s="3" t="inlineStr">
        <is>
          <t>Brownian Motion and Constructions. Topics include orthogonality, Euclidean geometry, differential equations basics, Laplace transforms and symmetry; later weeks address heat equation, polynomial functions and numerical linear algebra.</t>
        </is>
      </c>
      <c r="M96" s="3" t="inlineStr">
        <is>
          <t>Explain the core ideas of orthogonality | Apply Euclidean geometry to solve standard problems | Analyze problems involving differential equations basics | Use Laplace transforms in practical exercises | Evaluate approaches to symmetry | Communicate findings about heat equation</t>
        </is>
      </c>
      <c r="N96" s="3" t="inlineStr">
        <is>
          <t>orthogonality | Euclidean geometry | differential equations basics | Laplace transforms | symmetry | heat equation | polynomial functions | numerical linear algebra</t>
        </is>
      </c>
      <c r="O96" s="6" t="inlineStr">
        <is>
          <t>CAS MA 335</t>
        </is>
      </c>
      <c r="P96" s="6" t="n">
        <v>0.25</v>
      </c>
      <c r="Q96" s="6" t="inlineStr">
        <is>
          <t>Elective (&lt;50%)</t>
        </is>
      </c>
    </row>
    <row r="97">
      <c r="A97" s="6" t="inlineStr">
        <is>
          <t>NEU|PSYC 3709</t>
        </is>
      </c>
      <c r="B97" s="6" t="inlineStr">
        <is>
          <t>NEU</t>
        </is>
      </c>
      <c r="C97" s="6" t="inlineStr">
        <is>
          <t>PSYC 3709</t>
        </is>
      </c>
      <c r="D97" s="6" t="inlineStr">
        <is>
          <t>Adolescence and Childhood Depression</t>
        </is>
      </c>
      <c r="E97" s="6" t="n">
        <v>4</v>
      </c>
      <c r="F97" s="6" t="inlineStr">
        <is>
          <t>Semester</t>
        </is>
      </c>
      <c r="G97" s="6" t="n">
        <v>4</v>
      </c>
      <c r="H97" s="6" t="inlineStr">
        <is>
          <t>Psychology</t>
        </is>
      </c>
      <c r="I97" s="6" t="inlineStr">
        <is>
          <t>Academic</t>
        </is>
      </c>
      <c r="J97" s="6" t="n">
        <v>300</v>
      </c>
      <c r="K97" s="3" t="inlineStr">
        <is>
          <t>SYNTHETIC course (not in the NU/NYU catalog; invented for test volume)</t>
        </is>
      </c>
      <c r="L97" s="3" t="inlineStr">
        <is>
          <t>Adolescence and Childhood Depression. Topics include autism spectrum disorder, animal learning, acculturation, decision making and assessment of children; later weeks address ADHD, brain imaging methods and case formulation.</t>
        </is>
      </c>
      <c r="M97" s="3" t="inlineStr">
        <is>
          <t>Explain the core ideas of autism spectrum disorder | Apply animal learning to solve standard problems | Analyze problems involving acculturation | Use decision making in practical exercises | Evaluate approaches to assessment of children | Communicate findings about ADHD</t>
        </is>
      </c>
      <c r="N97" s="3" t="inlineStr">
        <is>
          <t>autism spectrum disorder | animal learning | acculturation | decision making | assessment of children | ADHD | brain imaging methods | case formulation</t>
        </is>
      </c>
      <c r="O97" s="6" t="inlineStr">
        <is>
          <t>CAS PS 340</t>
        </is>
      </c>
      <c r="P97" s="6" t="n">
        <v>0.375</v>
      </c>
      <c r="Q97" s="6" t="inlineStr">
        <is>
          <t>Elective (&lt;50%)</t>
        </is>
      </c>
    </row>
    <row r="98">
      <c r="A98" s="6" t="inlineStr">
        <is>
          <t>NEU|MATH 3706</t>
        </is>
      </c>
      <c r="B98" s="6" t="inlineStr">
        <is>
          <t>NEU</t>
        </is>
      </c>
      <c r="C98" s="6" t="inlineStr">
        <is>
          <t>MATH 3706</t>
        </is>
      </c>
      <c r="D98" s="6" t="inlineStr">
        <is>
          <t>Real Analysis 1</t>
        </is>
      </c>
      <c r="E98" s="6" t="n">
        <v>4</v>
      </c>
      <c r="F98" s="6" t="inlineStr">
        <is>
          <t>Semester</t>
        </is>
      </c>
      <c r="G98" s="6" t="n">
        <v>4</v>
      </c>
      <c r="H98" s="6" t="inlineStr">
        <is>
          <t>Mathematics</t>
        </is>
      </c>
      <c r="I98" s="6" t="inlineStr">
        <is>
          <t>Academic</t>
        </is>
      </c>
      <c r="J98" s="6" t="n">
        <v>300</v>
      </c>
      <c r="K98" s="3" t="inlineStr">
        <is>
          <t>SYNTHETIC course (not in the NU/NYU catalog; invented for test volume)</t>
        </is>
      </c>
      <c r="L98" s="3" t="inlineStr">
        <is>
          <t>Real Analysis 1. Topics include metric spaces, biological applications, determinants, continuity and series; later weeks address real numbers, sequences and modules.</t>
        </is>
      </c>
      <c r="M98" s="3" t="inlineStr">
        <is>
          <t>Explain the core ideas of metric spaces | Apply biological applications to solve standard problems | Analyze problems involving determinants | Use continuity in practical exercises | Evaluate approaches to series | Communicate findings about real numbers</t>
        </is>
      </c>
      <c r="N98" s="3" t="inlineStr">
        <is>
          <t>metric spaces | biological applications | determinants | continuity | series | real numbers | sequences | modules</t>
        </is>
      </c>
      <c r="O98" s="6" t="inlineStr">
        <is>
          <t>CAS MA 311</t>
        </is>
      </c>
      <c r="P98" s="6" t="n">
        <v>0.625</v>
      </c>
      <c r="Q98" s="6" t="inlineStr">
        <is>
          <t>Evaluator decides (50-79%)</t>
        </is>
      </c>
    </row>
    <row r="99">
      <c r="A99" s="6" t="inlineStr">
        <is>
          <t>NEU|ECON 3712</t>
        </is>
      </c>
      <c r="B99" s="6" t="inlineStr">
        <is>
          <t>NEU</t>
        </is>
      </c>
      <c r="C99" s="6" t="inlineStr">
        <is>
          <t>ECON 3712</t>
        </is>
      </c>
      <c r="D99" s="6" t="inlineStr">
        <is>
          <t>IS-LM Model and Patents</t>
        </is>
      </c>
      <c r="E99" s="6" t="n">
        <v>4</v>
      </c>
      <c r="F99" s="6" t="inlineStr">
        <is>
          <t>Semester</t>
        </is>
      </c>
      <c r="G99" s="6" t="n">
        <v>4</v>
      </c>
      <c r="H99" s="6" t="inlineStr">
        <is>
          <t>Economics</t>
        </is>
      </c>
      <c r="I99" s="6" t="inlineStr">
        <is>
          <t>Academic</t>
        </is>
      </c>
      <c r="J99" s="6" t="n">
        <v>300</v>
      </c>
      <c r="K99" s="3" t="inlineStr">
        <is>
          <t>SYNTHETIC course (not in the NU/NYU catalog; invented for test volume)</t>
        </is>
      </c>
      <c r="L99" s="3" t="inlineStr">
        <is>
          <t>IS-LM Model and Patents. Topics include diffusion of technology, carbon pricing, volatility models, cost minimization and technological change; later weeks address innovation policy, price regulation and simple regression.</t>
        </is>
      </c>
      <c r="M99" s="3" t="inlineStr">
        <is>
          <t>Explain the core ideas of diffusion of technology | Apply carbon pricing to solve standard problems | Analyze problems involving volatility models | Use cost minimization in practical exercises | Evaluate approaches to technological change | Communicate findings about innovation policy</t>
        </is>
      </c>
      <c r="N99" s="3" t="inlineStr">
        <is>
          <t>diffusion of technology | carbon pricing | volatility models | cost minimization | technological change | innovation policy | price regulation | simple regression</t>
        </is>
      </c>
      <c r="O99" s="6" t="inlineStr">
        <is>
          <t>CAS EC 350</t>
        </is>
      </c>
      <c r="P99" s="6" t="n">
        <v>0.375</v>
      </c>
      <c r="Q99" s="6" t="inlineStr">
        <is>
          <t>Elective (&lt;50%)</t>
        </is>
      </c>
    </row>
    <row r="100">
      <c r="A100" s="6" t="inlineStr">
        <is>
          <t>NEU|ECON 3715</t>
        </is>
      </c>
      <c r="B100" s="6" t="inlineStr">
        <is>
          <t>NEU</t>
        </is>
      </c>
      <c r="C100" s="6" t="inlineStr">
        <is>
          <t>ECON 3715</t>
        </is>
      </c>
      <c r="D100" s="6" t="inlineStr">
        <is>
          <t>Time Series Forecasting</t>
        </is>
      </c>
      <c r="E100" s="6" t="n">
        <v>4</v>
      </c>
      <c r="F100" s="6" t="inlineStr">
        <is>
          <t>Semester</t>
        </is>
      </c>
      <c r="G100" s="6" t="n">
        <v>4</v>
      </c>
      <c r="H100" s="6" t="inlineStr">
        <is>
          <t>Economics</t>
        </is>
      </c>
      <c r="I100" s="6" t="inlineStr">
        <is>
          <t>Academic</t>
        </is>
      </c>
      <c r="J100" s="6" t="n">
        <v>300</v>
      </c>
      <c r="K100" s="3" t="inlineStr">
        <is>
          <t>SYNTHETIC course (not in the NU/NYU catalog; invented for test volume)</t>
        </is>
      </c>
      <c r="L100" s="3" t="inlineStr">
        <is>
          <t>Time Series Forecasting. Topics include time series data, economic growth, forecasting evaluation, pharmaceutical markets and volatility models; later weeks address autocorrelation, elasticity and ARIMA models.</t>
        </is>
      </c>
      <c r="M100" s="3" t="inlineStr">
        <is>
          <t>Explain the core ideas of time series data | Apply economic growth to solve standard problems | Analyze problems involving forecasting evaluation | Use pharmaceutical markets in practical exercises | Evaluate approaches to volatility models | Communicate findings about autocorrelation</t>
        </is>
      </c>
      <c r="N100" s="3" t="inlineStr">
        <is>
          <t>time series data | economic growth | forecasting evaluation | pharmaceutical markets | volatility models | autocorrelation | elasticity | ARIMA models</t>
        </is>
      </c>
      <c r="O100" s="6" t="inlineStr">
        <is>
          <t>CAS EC 365</t>
        </is>
      </c>
      <c r="P100" s="6" t="n">
        <v>0.625</v>
      </c>
      <c r="Q100" s="6" t="inlineStr">
        <is>
          <t>Evaluator decides (50-79%)</t>
        </is>
      </c>
    </row>
    <row r="101">
      <c r="A101" s="6" t="inlineStr">
        <is>
          <t>NEU|CS 2703</t>
        </is>
      </c>
      <c r="B101" s="6" t="inlineStr">
        <is>
          <t>NEU</t>
        </is>
      </c>
      <c r="C101" s="6" t="inlineStr">
        <is>
          <t>CS 2703</t>
        </is>
      </c>
      <c r="D101" s="6" t="inlineStr">
        <is>
          <t>Human-Computer Interaction</t>
        </is>
      </c>
      <c r="E101" s="6" t="n">
        <v>4</v>
      </c>
      <c r="F101" s="6" t="inlineStr">
        <is>
          <t>Semester</t>
        </is>
      </c>
      <c r="G101" s="6" t="n">
        <v>4</v>
      </c>
      <c r="H101" s="6" t="inlineStr">
        <is>
          <t>Computer Science</t>
        </is>
      </c>
      <c r="I101" s="6" t="inlineStr">
        <is>
          <t>Academic</t>
        </is>
      </c>
      <c r="J101" s="6" t="n">
        <v>200</v>
      </c>
      <c r="K101" s="3" t="inlineStr">
        <is>
          <t>SYNTHETIC course (not in the NU/NYU catalog; invented for test volume)</t>
        </is>
      </c>
      <c r="L101" s="3" t="inlineStr">
        <is>
          <t>Human-Computer Interaction. Topics include usability testing, user research, interaction design, user-centered design and visual design; later weeks address accessibility, cognitive models and prototyping.</t>
        </is>
      </c>
      <c r="M101" s="3" t="inlineStr">
        <is>
          <t>Explain the core ideas of usability testing | Apply user research to solve standard problems | Analyze problems involving interaction design | Use user-centered design in practical exercises | Evaluate approaches to visual design | Communicate findings about accessibility</t>
        </is>
      </c>
      <c r="N101" s="3" t="inlineStr">
        <is>
          <t>usability testing | user research | interaction design | user-centered design | visual design | accessibility | cognitive models | prototyping</t>
        </is>
      </c>
      <c r="O101" s="6" t="inlineStr">
        <is>
          <t>CAS CS 280</t>
        </is>
      </c>
      <c r="P101" s="6" t="n">
        <v>1</v>
      </c>
      <c r="Q101" s="6" t="inlineStr">
        <is>
          <t>Equivalent (&gt;=80%)</t>
        </is>
      </c>
    </row>
    <row r="102">
      <c r="A102" s="6" t="inlineStr">
        <is>
          <t>NEU|PSYC 2706</t>
        </is>
      </c>
      <c r="B102" s="6" t="inlineStr">
        <is>
          <t>NEU</t>
        </is>
      </c>
      <c r="C102" s="6" t="inlineStr">
        <is>
          <t>PSYC 2706</t>
        </is>
      </c>
      <c r="D102" s="6" t="inlineStr">
        <is>
          <t>Perception and Behavior</t>
        </is>
      </c>
      <c r="E102" s="6" t="n">
        <v>4</v>
      </c>
      <c r="F102" s="6" t="inlineStr">
        <is>
          <t>Semester</t>
        </is>
      </c>
      <c r="G102" s="6" t="n">
        <v>4</v>
      </c>
      <c r="H102" s="6" t="inlineStr">
        <is>
          <t>Psychology</t>
        </is>
      </c>
      <c r="I102" s="6" t="inlineStr">
        <is>
          <t>Academic</t>
        </is>
      </c>
      <c r="J102" s="6" t="n">
        <v>200</v>
      </c>
      <c r="K102" s="3" t="inlineStr">
        <is>
          <t>SYNTHETIC course (not in the NU/NYU catalog; invented for test volume)</t>
        </is>
      </c>
      <c r="L102" s="3" t="inlineStr">
        <is>
          <t>Perception and Behavior. Topics include attention, object recognition, auditory perception, color perception and visual system; later weeks address psychophysics, depth perception and multisensory integration.</t>
        </is>
      </c>
      <c r="M102" s="3" t="inlineStr">
        <is>
          <t>Explain the core ideas of attention | Apply object recognition to solve standard problems | Analyze problems involving auditory perception | Use color perception in practical exercises | Evaluate approaches to visual system | Communicate findings about psychophysics</t>
        </is>
      </c>
      <c r="N102" s="3" t="inlineStr">
        <is>
          <t>attention | object recognition | auditory perception | color perception | visual system | psychophysics | depth perception | multisensory integration</t>
        </is>
      </c>
      <c r="O102" s="6" t="inlineStr">
        <is>
          <t>CAS PS 222</t>
        </is>
      </c>
      <c r="P102" s="6" t="n">
        <v>1</v>
      </c>
      <c r="Q102" s="6" t="inlineStr">
        <is>
          <t>Equivalent (&gt;=80%)</t>
        </is>
      </c>
    </row>
    <row r="103">
      <c r="A103" s="6" t="inlineStr">
        <is>
          <t>NEU|BIOL 3712</t>
        </is>
      </c>
      <c r="B103" s="6" t="inlineStr">
        <is>
          <t>NEU</t>
        </is>
      </c>
      <c r="C103" s="6" t="inlineStr">
        <is>
          <t>BIOL 3712</t>
        </is>
      </c>
      <c r="D103" s="6" t="inlineStr">
        <is>
          <t>Molecular Biology</t>
        </is>
      </c>
      <c r="E103" s="6" t="n">
        <v>5</v>
      </c>
      <c r="F103" s="6" t="inlineStr">
        <is>
          <t>Semester</t>
        </is>
      </c>
      <c r="G103" s="6" t="n">
        <v>5</v>
      </c>
      <c r="H103" s="6" t="inlineStr">
        <is>
          <t>Biology</t>
        </is>
      </c>
      <c r="I103" s="6" t="inlineStr">
        <is>
          <t>Academic</t>
        </is>
      </c>
      <c r="J103" s="6" t="n">
        <v>300</v>
      </c>
      <c r="K103" s="3" t="inlineStr">
        <is>
          <t>SYNTHETIC course (not in the NU/NYU catalog; invented for test volume)</t>
        </is>
      </c>
      <c r="L103" s="3" t="inlineStr">
        <is>
          <t>Molecular Biology. Topics include laboratory techniques, transcription, PCR, recombinant DNA and genomics; later weeks address gene regulation, translation and DNA replication.</t>
        </is>
      </c>
      <c r="M103" s="3" t="inlineStr">
        <is>
          <t>Explain the core ideas of laboratory techniques | Apply transcription to solve standard problems | Analyze problems involving PCR | Use recombinant DNA in practical exercises | Evaluate approaches to genomics | Communicate findings about gene regulation</t>
        </is>
      </c>
      <c r="N103" s="3" t="inlineStr">
        <is>
          <t>laboratory techniques | transcription | PCR | recombinant DNA | genomics | gene regulation | translation | DNA replication</t>
        </is>
      </c>
      <c r="O103" s="6" t="inlineStr">
        <is>
          <t>CAS BI 350</t>
        </is>
      </c>
      <c r="P103" s="6" t="n">
        <v>1</v>
      </c>
      <c r="Q103" s="6" t="inlineStr">
        <is>
          <t>Equivalent (&gt;=80%)</t>
        </is>
      </c>
    </row>
    <row r="104">
      <c r="A104" s="6" t="inlineStr">
        <is>
          <t>NEU|CS 2706</t>
        </is>
      </c>
      <c r="B104" s="6" t="inlineStr">
        <is>
          <t>NEU</t>
        </is>
      </c>
      <c r="C104" s="6" t="inlineStr">
        <is>
          <t>CS 2706</t>
        </is>
      </c>
      <c r="D104" s="3" t="inlineStr">
        <is>
          <t>Agile Methods and Entity-relationship Design</t>
        </is>
      </c>
      <c r="E104" s="6" t="n">
        <v>4</v>
      </c>
      <c r="F104" s="6" t="inlineStr">
        <is>
          <t>Semester</t>
        </is>
      </c>
      <c r="G104" s="6" t="n">
        <v>4</v>
      </c>
      <c r="H104" s="6" t="inlineStr">
        <is>
          <t>Computer Science</t>
        </is>
      </c>
      <c r="I104" s="6" t="inlineStr">
        <is>
          <t>Academic</t>
        </is>
      </c>
      <c r="J104" s="6" t="n">
        <v>200</v>
      </c>
      <c r="K104" s="3" t="inlineStr">
        <is>
          <t>SYNTHETIC course (not in the NU/NYU catalog; invented for test volume)</t>
        </is>
      </c>
      <c r="L104" s="3" t="inlineStr">
        <is>
          <t>Agile Methods and Entity-relationship Design. Topics include software vulnerabilities, sorting algorithms, classification, finite automata and relational model; later weeks address indexing, socket programming and synchronization.</t>
        </is>
      </c>
      <c r="M104" s="3" t="inlineStr">
        <is>
          <t>Explain the core ideas of software vulnerabilities | Apply sorting algorithms to solve standard problems | Analyze problems involving classification | Use finite automata in practical exercises | Evaluate approaches to relational model | Communicate findings about indexing</t>
        </is>
      </c>
      <c r="N104" s="3" t="inlineStr">
        <is>
          <t>software vulnerabilities | sorting algorithms | classification | finite automata | relational model | indexing | socket programming | synchronization</t>
        </is>
      </c>
      <c r="O104" s="6" t="inlineStr">
        <is>
          <t>CAS CS 216</t>
        </is>
      </c>
      <c r="P104" s="6" t="n">
        <v>0.25</v>
      </c>
      <c r="Q104" s="6" t="inlineStr">
        <is>
          <t>Elective (&lt;50%)</t>
        </is>
      </c>
    </row>
    <row r="105">
      <c r="A105" s="6" t="inlineStr">
        <is>
          <t>NEU|ECON 2706</t>
        </is>
      </c>
      <c r="B105" s="6" t="inlineStr">
        <is>
          <t>NEU</t>
        </is>
      </c>
      <c r="C105" s="6" t="inlineStr">
        <is>
          <t>ECON 2706</t>
        </is>
      </c>
      <c r="D105" s="6" t="inlineStr">
        <is>
          <t>Labor Economics</t>
        </is>
      </c>
      <c r="E105" s="6" t="n">
        <v>4</v>
      </c>
      <c r="F105" s="6" t="inlineStr">
        <is>
          <t>Semester</t>
        </is>
      </c>
      <c r="G105" s="6" t="n">
        <v>4</v>
      </c>
      <c r="H105" s="6" t="inlineStr">
        <is>
          <t>Economics</t>
        </is>
      </c>
      <c r="I105" s="6" t="inlineStr">
        <is>
          <t>Academic</t>
        </is>
      </c>
      <c r="J105" s="6" t="n">
        <v>200</v>
      </c>
      <c r="K105" s="3" t="inlineStr">
        <is>
          <t>SYNTHETIC course (not in the NU/NYU catalog; invented for test volume)</t>
        </is>
      </c>
      <c r="L105" s="3" t="inlineStr">
        <is>
          <t>Labor Economics. Topics include unions, minimum wage, human capital, labor supply and discrimination; later weeks address labor demand, wage determination and unemployment.</t>
        </is>
      </c>
      <c r="M105" s="3" t="inlineStr">
        <is>
          <t>Explain the core ideas of unions | Apply minimum wage to solve standard problems | Analyze problems involving human capital | Use labor supply in practical exercises | Evaluate approaches to discrimination | Communicate findings about labor demand</t>
        </is>
      </c>
      <c r="N105" s="3" t="inlineStr">
        <is>
          <t>unions | minimum wage | human capital | labor supply | discrimination | labor demand | wage determination | unemployment</t>
        </is>
      </c>
      <c r="O105" s="6" t="inlineStr">
        <is>
          <t>CAS EC 240</t>
        </is>
      </c>
      <c r="P105" s="6" t="n">
        <v>1</v>
      </c>
      <c r="Q105" s="6" t="inlineStr">
        <is>
          <t>Equivalent (&gt;=80%)</t>
        </is>
      </c>
    </row>
    <row r="106">
      <c r="A106" s="6" t="inlineStr">
        <is>
          <t>NEU|ECON 3718</t>
        </is>
      </c>
      <c r="B106" s="6" t="inlineStr">
        <is>
          <t>NEU</t>
        </is>
      </c>
      <c r="C106" s="6" t="inlineStr">
        <is>
          <t>ECON 3718</t>
        </is>
      </c>
      <c r="D106" s="6" t="inlineStr">
        <is>
          <t>Behavioral Economics</t>
        </is>
      </c>
      <c r="E106" s="6" t="n">
        <v>4</v>
      </c>
      <c r="F106" s="6" t="inlineStr">
        <is>
          <t>Semester</t>
        </is>
      </c>
      <c r="G106" s="6" t="n">
        <v>4</v>
      </c>
      <c r="H106" s="6" t="inlineStr">
        <is>
          <t>Economics</t>
        </is>
      </c>
      <c r="I106" s="6" t="inlineStr">
        <is>
          <t>Academic</t>
        </is>
      </c>
      <c r="J106" s="6" t="n">
        <v>300</v>
      </c>
      <c r="K106" s="3" t="inlineStr">
        <is>
          <t>SYNTHETIC course (not in the NU/NYU catalog; invented for test volume)</t>
        </is>
      </c>
      <c r="L106" s="3" t="inlineStr">
        <is>
          <t>Behavioral Economics. Topics include prospect theory, behavioral finance, nudges, heuristics and biases and bounded rationality; later weeks address social preferences, time inconsistency and experiments.</t>
        </is>
      </c>
      <c r="M106" s="3" t="inlineStr">
        <is>
          <t>Explain the core ideas of prospect theory | Apply behavioral finance to solve standard problems | Analyze problems involving nudges | Use heuristics and biases in practical exercises | Evaluate approaches to bounded rationality | Communicate findings about social preferences</t>
        </is>
      </c>
      <c r="N106" s="3" t="inlineStr">
        <is>
          <t>prospect theory | behavioral finance | nudges | heuristics and biases | bounded rationality | social preferences | time inconsistency | experiments</t>
        </is>
      </c>
      <c r="O106" s="6" t="inlineStr">
        <is>
          <t>CAS EC 315</t>
        </is>
      </c>
      <c r="P106" s="6" t="n">
        <v>1</v>
      </c>
      <c r="Q106" s="6" t="inlineStr">
        <is>
          <t>Equivalent (&gt;=80%)</t>
        </is>
      </c>
    </row>
    <row r="107">
      <c r="A107" s="6" t="inlineStr">
        <is>
          <t>NEU|ECON 2709</t>
        </is>
      </c>
      <c r="B107" s="6" t="inlineStr">
        <is>
          <t>NEU</t>
        </is>
      </c>
      <c r="C107" s="6" t="inlineStr">
        <is>
          <t>ECON 2709</t>
        </is>
      </c>
      <c r="D107" s="3" t="inlineStr">
        <is>
          <t>Aggregate Demand and Supply and Government Policy</t>
        </is>
      </c>
      <c r="E107" s="6" t="n">
        <v>4</v>
      </c>
      <c r="F107" s="6" t="inlineStr">
        <is>
          <t>Semester</t>
        </is>
      </c>
      <c r="G107" s="6" t="n">
        <v>4</v>
      </c>
      <c r="H107" s="6" t="inlineStr">
        <is>
          <t>Economics</t>
        </is>
      </c>
      <c r="I107" s="6" t="inlineStr">
        <is>
          <t>Academic</t>
        </is>
      </c>
      <c r="J107" s="6" t="n">
        <v>200</v>
      </c>
      <c r="K107" s="3" t="inlineStr">
        <is>
          <t>SYNTHETIC course (not in the NU/NYU catalog; invented for test volume)</t>
        </is>
      </c>
      <c r="L107" s="3" t="inlineStr">
        <is>
          <t>Aggregate Demand and Supply and Government Policy. Topics include economic growth, teacher quality, colonial economy, causal inference and the Great Depression; later weeks address labor markets, producer theory and consumer theory.</t>
        </is>
      </c>
      <c r="M107" s="3" t="inlineStr">
        <is>
          <t>Explain the core ideas of economic growth | Apply teacher quality to solve standard problems | Analyze problems involving colonial economy | Use causal inference in practical exercises | Evaluate approaches to the Great Depression | Communicate findings about labor markets</t>
        </is>
      </c>
      <c r="N107" s="3" t="inlineStr">
        <is>
          <t>economic growth | teacher quality | colonial economy | causal inference | the Great Depression | labor markets | producer theory | consumer theory</t>
        </is>
      </c>
      <c r="O107" s="6" t="inlineStr">
        <is>
          <t>CAS EC 290</t>
        </is>
      </c>
      <c r="P107" s="6" t="n">
        <v>0.5</v>
      </c>
      <c r="Q107" s="6" t="inlineStr">
        <is>
          <t>Evaluator decides (50-79%)</t>
        </is>
      </c>
    </row>
    <row r="108">
      <c r="A108" s="6" t="inlineStr">
        <is>
          <t>NEU|MATH 1703</t>
        </is>
      </c>
      <c r="B108" s="6" t="inlineStr">
        <is>
          <t>NEU</t>
        </is>
      </c>
      <c r="C108" s="6" t="inlineStr">
        <is>
          <t>MATH 1703</t>
        </is>
      </c>
      <c r="D108" s="6" t="inlineStr">
        <is>
          <t>College Algebra and Trigonometry</t>
        </is>
      </c>
      <c r="E108" s="6" t="n">
        <v>4</v>
      </c>
      <c r="F108" s="6" t="inlineStr">
        <is>
          <t>Semester</t>
        </is>
      </c>
      <c r="G108" s="6" t="n">
        <v>4</v>
      </c>
      <c r="H108" s="6" t="inlineStr">
        <is>
          <t>Mathematics</t>
        </is>
      </c>
      <c r="I108" s="6" t="inlineStr">
        <is>
          <t>Academic</t>
        </is>
      </c>
      <c r="J108" s="6" t="n">
        <v>100</v>
      </c>
      <c r="K108" s="3" t="inlineStr">
        <is>
          <t>SYNTHETIC course (not in the NU/NYU catalog; invented for test volume)</t>
        </is>
      </c>
      <c r="L108" s="3" t="inlineStr">
        <is>
          <t>College Algebra and Trigonometry. Topics include vector fields, functions, systems of equations, trigonometric functions and equations and inequalities; later weeks address trigonometric identities, logarithms and exponential functions.</t>
        </is>
      </c>
      <c r="M108" s="3" t="inlineStr">
        <is>
          <t>Explain the core ideas of vector fields | Apply functions to solve standard problems | Analyze problems involving systems of equations | Use trigonometric functions in practical exercises | Evaluate approaches to equations and inequalities | Communicate findings about trigonometric identities</t>
        </is>
      </c>
      <c r="N108" s="3" t="inlineStr">
        <is>
          <t>vector fields | functions | systems of equations | trigonometric functions | equations and inequalities | trigonometric identities | logarithms | exponential functions</t>
        </is>
      </c>
      <c r="O108" s="6" t="inlineStr">
        <is>
          <t>CAS MA 118</t>
        </is>
      </c>
      <c r="P108" s="6" t="n">
        <v>0.875</v>
      </c>
      <c r="Q108" s="6" t="inlineStr">
        <is>
          <t>Equivalent (&gt;=80%)</t>
        </is>
      </c>
    </row>
    <row r="109">
      <c r="A109" s="6" t="inlineStr">
        <is>
          <t>NEU|ECON 3721</t>
        </is>
      </c>
      <c r="B109" s="6" t="inlineStr">
        <is>
          <t>NEU</t>
        </is>
      </c>
      <c r="C109" s="6" t="inlineStr">
        <is>
          <t>ECON 3721</t>
        </is>
      </c>
      <c r="D109" s="6" t="inlineStr">
        <is>
          <t>Health Economics</t>
        </is>
      </c>
      <c r="E109" s="6" t="n">
        <v>4</v>
      </c>
      <c r="F109" s="6" t="inlineStr">
        <is>
          <t>Semester</t>
        </is>
      </c>
      <c r="G109" s="6" t="n">
        <v>4</v>
      </c>
      <c r="H109" s="6" t="inlineStr">
        <is>
          <t>Economics</t>
        </is>
      </c>
      <c r="I109" s="6" t="inlineStr">
        <is>
          <t>Academic</t>
        </is>
      </c>
      <c r="J109" s="6" t="n">
        <v>300</v>
      </c>
      <c r="K109" s="3" t="inlineStr">
        <is>
          <t>SYNTHETIC course (not in the NU/NYU catalog; invented for test volume)</t>
        </is>
      </c>
      <c r="L109" s="3" t="inlineStr">
        <is>
          <t>Health Economics. Topics include adverse selection, long-run growth models, demand for health care, health policy and equilibrium analysis; later weeks address hospital markets, cost-effectiveness and public health.</t>
        </is>
      </c>
      <c r="M109" s="3" t="inlineStr">
        <is>
          <t>Explain the core ideas of adverse selection | Apply long-run growth models to solve standard problems | Analyze problems involving demand for health care | Use health policy in practical exercises | Evaluate approaches to equilibrium analysis | Communicate findings about hospital markets</t>
        </is>
      </c>
      <c r="N109" s="3" t="inlineStr">
        <is>
          <t>adverse selection | long-run growth models | demand for health care | health policy | equilibrium analysis | hospital markets | cost-effectiveness | public health</t>
        </is>
      </c>
      <c r="O109" s="6" t="inlineStr">
        <is>
          <t>CAS EC 305</t>
        </is>
      </c>
      <c r="P109" s="6" t="n">
        <v>0.75</v>
      </c>
      <c r="Q109" s="6" t="inlineStr">
        <is>
          <t>Evaluator decides (50-79%)</t>
        </is>
      </c>
    </row>
    <row r="110">
      <c r="A110" s="6" t="inlineStr">
        <is>
          <t>NEU|ECON 3724</t>
        </is>
      </c>
      <c r="B110" s="6" t="inlineStr">
        <is>
          <t>NEU</t>
        </is>
      </c>
      <c r="C110" s="6" t="inlineStr">
        <is>
          <t>ECON 3724</t>
        </is>
      </c>
      <c r="D110" s="6" t="inlineStr">
        <is>
          <t>Bargaining and Balance of Payments</t>
        </is>
      </c>
      <c r="E110" s="6" t="n">
        <v>4</v>
      </c>
      <c r="F110" s="6" t="inlineStr">
        <is>
          <t>Semester</t>
        </is>
      </c>
      <c r="G110" s="6" t="n">
        <v>4</v>
      </c>
      <c r="H110" s="6" t="inlineStr">
        <is>
          <t>Economics</t>
        </is>
      </c>
      <c r="I110" s="6" t="inlineStr">
        <is>
          <t>Academic</t>
        </is>
      </c>
      <c r="J110" s="6" t="n">
        <v>300</v>
      </c>
      <c r="K110" s="3" t="inlineStr">
        <is>
          <t>SYNTHETIC course (not in the NU/NYU catalog; invented for test volume)</t>
        </is>
      </c>
      <c r="L110" s="3" t="inlineStr">
        <is>
          <t>Bargaining and Balance of Payments. Topics include fiscal policy, international institutions, taxation, balance of payments and bond markets; later weeks address game theory basics, heuristics and biases and market efficiency.</t>
        </is>
      </c>
      <c r="M110" s="3" t="inlineStr">
        <is>
          <t>Explain the core ideas of fiscal policy | Apply international institutions to solve standard problems | Analyze problems involving taxation | Use balance of payments in practical exercises | Evaluate approaches to bond markets | Communicate findings about game theory basics</t>
        </is>
      </c>
      <c r="N110" s="3" t="inlineStr">
        <is>
          <t>fiscal policy | international institutions | taxation | balance of payments | bond markets | game theory basics | heuristics and biases | market efficiency</t>
        </is>
      </c>
      <c r="O110" s="6" t="inlineStr">
        <is>
          <t>CAS EC 340</t>
        </is>
      </c>
      <c r="P110" s="6" t="n">
        <v>0.25</v>
      </c>
      <c r="Q110" s="6" t="inlineStr">
        <is>
          <t>Elective (&lt;50%)</t>
        </is>
      </c>
    </row>
    <row r="111">
      <c r="A111" s="6" t="inlineStr">
        <is>
          <t>NEU|BIOL 1703</t>
        </is>
      </c>
      <c r="B111" s="6" t="inlineStr">
        <is>
          <t>NEU</t>
        </is>
      </c>
      <c r="C111" s="6" t="inlineStr">
        <is>
          <t>BIOL 1703</t>
        </is>
      </c>
      <c r="D111" s="6" t="inlineStr">
        <is>
          <t>DNA Replication and Respiratory System</t>
        </is>
      </c>
      <c r="E111" s="6" t="n">
        <v>5</v>
      </c>
      <c r="F111" s="6" t="inlineStr">
        <is>
          <t>Semester</t>
        </is>
      </c>
      <c r="G111" s="6" t="n">
        <v>5</v>
      </c>
      <c r="H111" s="6" t="inlineStr">
        <is>
          <t>Biology</t>
        </is>
      </c>
      <c r="I111" s="6" t="inlineStr">
        <is>
          <t>Academic</t>
        </is>
      </c>
      <c r="J111" s="6" t="n">
        <v>100</v>
      </c>
      <c r="K111" s="3" t="inlineStr">
        <is>
          <t>SYNTHETIC course (not in the NU/NYU catalog; invented for test volume)</t>
        </is>
      </c>
      <c r="L111" s="3" t="inlineStr">
        <is>
          <t>DNA Replication and Respiratory System. Topics include behavioral ecology, mammals, carbonyl chemistry, coral reefs and elimination reactions; later weeks address amines, digestive system and reproductive system.</t>
        </is>
      </c>
      <c r="M111" s="3" t="inlineStr">
        <is>
          <t>Explain the core ideas of behavioral ecology | Apply mammals to solve standard problems | Analyze problems involving carbonyl chemistry | Use coral reefs in practical exercises | Evaluate approaches to elimination reactions | Communicate findings about amines</t>
        </is>
      </c>
      <c r="N111" s="3" t="inlineStr">
        <is>
          <t>behavioral ecology | mammals | carbonyl chemistry | coral reefs | elimination reactions | amines | digestive system | reproductive system</t>
        </is>
      </c>
      <c r="O111" s="6" t="inlineStr">
        <is>
          <t>CAS BI 116</t>
        </is>
      </c>
      <c r="P111" s="6" t="n">
        <v>0.25</v>
      </c>
      <c r="Q111" s="6" t="inlineStr">
        <is>
          <t>Elective (&lt;50%)</t>
        </is>
      </c>
    </row>
    <row r="112">
      <c r="A112" s="6" t="inlineStr">
        <is>
          <t>NEU|CS 1703</t>
        </is>
      </c>
      <c r="B112" s="6" t="inlineStr">
        <is>
          <t>NEU</t>
        </is>
      </c>
      <c r="C112" s="6" t="inlineStr">
        <is>
          <t>CS 1703</t>
        </is>
      </c>
      <c r="D112" s="6" t="inlineStr">
        <is>
          <t>Introduction to Internet Technologies</t>
        </is>
      </c>
      <c r="E112" s="6" t="n">
        <v>4</v>
      </c>
      <c r="F112" s="6" t="inlineStr">
        <is>
          <t>Semester</t>
        </is>
      </c>
      <c r="G112" s="6" t="n">
        <v>4</v>
      </c>
      <c r="H112" s="6" t="inlineStr">
        <is>
          <t>Computer Science</t>
        </is>
      </c>
      <c r="I112" s="6" t="inlineStr">
        <is>
          <t>Academic</t>
        </is>
      </c>
      <c r="J112" s="6" t="n">
        <v>100</v>
      </c>
      <c r="K112" s="3" t="inlineStr">
        <is>
          <t>SYNTHETIC course (not in the NU/NYU catalog; invented for test volume)</t>
        </is>
      </c>
      <c r="L112" s="3" t="inlineStr">
        <is>
          <t>Introduction to Internet Technologies. Topics include online privacy, HTML, web accessibility, how the internet works and reductions; later weeks address CSS, web hosting and client-server model.</t>
        </is>
      </c>
      <c r="M112" s="3" t="inlineStr">
        <is>
          <t>Explain the core ideas of online privacy | Apply HTML to solve standard problems | Analyze problems involving web accessibility | Use how the internet works in practical exercises | Evaluate approaches to reductions | Communicate findings about CSS</t>
        </is>
      </c>
      <c r="N112" s="3" t="inlineStr">
        <is>
          <t>online privacy | HTML | web accessibility | how the internet works | reductions | CSS | web hosting | client-server model</t>
        </is>
      </c>
      <c r="O112" s="6" t="inlineStr">
        <is>
          <t>CAS CS 103</t>
        </is>
      </c>
      <c r="P112" s="6" t="n">
        <v>0.875</v>
      </c>
      <c r="Q112" s="6" t="inlineStr">
        <is>
          <t>Equivalent (&gt;=80%)</t>
        </is>
      </c>
    </row>
    <row r="113">
      <c r="A113" s="6" t="inlineStr">
        <is>
          <t>NEU|BIOL 2709</t>
        </is>
      </c>
      <c r="B113" s="6" t="inlineStr">
        <is>
          <t>NEU</t>
        </is>
      </c>
      <c r="C113" s="6" t="inlineStr">
        <is>
          <t>BIOL 2709</t>
        </is>
      </c>
      <c r="D113" s="6" t="inlineStr">
        <is>
          <t>Cell Biology</t>
        </is>
      </c>
      <c r="E113" s="6" t="n">
        <v>5</v>
      </c>
      <c r="F113" s="6" t="inlineStr">
        <is>
          <t>Semester</t>
        </is>
      </c>
      <c r="G113" s="6" t="n">
        <v>5</v>
      </c>
      <c r="H113" s="6" t="inlineStr">
        <is>
          <t>Biology</t>
        </is>
      </c>
      <c r="I113" s="6" t="inlineStr">
        <is>
          <t>Academic</t>
        </is>
      </c>
      <c r="J113" s="6" t="n">
        <v>200</v>
      </c>
      <c r="K113" s="3" t="inlineStr">
        <is>
          <t>SYNTHETIC course (not in the NU/NYU catalog; invented for test volume)</t>
        </is>
      </c>
      <c r="L113" s="3" t="inlineStr">
        <is>
          <t>Cell Biology. Topics include aromatic compounds, restoration ecology, cell signaling, microscopy and cytoskeleton; later weeks address cell communication, protein trafficking and cell cycle.</t>
        </is>
      </c>
      <c r="M113" s="3" t="inlineStr">
        <is>
          <t>Explain the core ideas of aromatic compounds | Apply restoration ecology to solve standard problems | Analyze problems involving cell signaling | Use microscopy in practical exercises | Evaluate approaches to cytoskeleton | Communicate findings about cell communication</t>
        </is>
      </c>
      <c r="N113" s="3" t="inlineStr">
        <is>
          <t>aromatic compounds | restoration ecology | cell signaling | microscopy | cytoskeleton | cell communication | protein trafficking | cell cycle</t>
        </is>
      </c>
      <c r="O113" s="6" t="inlineStr">
        <is>
          <t>CAS BI 203</t>
        </is>
      </c>
      <c r="P113" s="6" t="n">
        <v>0.75</v>
      </c>
      <c r="Q113" s="6" t="inlineStr">
        <is>
          <t>Evaluator decides (50-79%)</t>
        </is>
      </c>
    </row>
    <row r="114">
      <c r="A114" s="6" t="inlineStr">
        <is>
          <t>NEU|BIOL 3715</t>
        </is>
      </c>
      <c r="B114" s="6" t="inlineStr">
        <is>
          <t>NEU</t>
        </is>
      </c>
      <c r="C114" s="6" t="inlineStr">
        <is>
          <t>BIOL 3715</t>
        </is>
      </c>
      <c r="D114" s="3" t="inlineStr">
        <is>
          <t>Aromatic Compounds and Programming for Biology</t>
        </is>
      </c>
      <c r="E114" s="6" t="n">
        <v>5</v>
      </c>
      <c r="F114" s="6" t="inlineStr">
        <is>
          <t>Semester</t>
        </is>
      </c>
      <c r="G114" s="6" t="n">
        <v>5</v>
      </c>
      <c r="H114" s="6" t="inlineStr">
        <is>
          <t>Biology</t>
        </is>
      </c>
      <c r="I114" s="6" t="inlineStr">
        <is>
          <t>Academic</t>
        </is>
      </c>
      <c r="J114" s="6" t="n">
        <v>300</v>
      </c>
      <c r="K114" s="3" t="inlineStr">
        <is>
          <t>SYNTHETIC course (not in the NU/NYU catalog; invented for test volume)</t>
        </is>
      </c>
      <c r="L114" s="3" t="inlineStr">
        <is>
          <t>Aromatic Compounds and Programming for Biology. Topics include gene expression, muscular system, neuroplasticity, marine biodiversity and data analysis; later weeks address amino acids and proteins, pattern formation and gene prediction.</t>
        </is>
      </c>
      <c r="M114" s="3" t="inlineStr">
        <is>
          <t>Explain the core ideas of gene expression | Apply muscular system to solve standard problems | Analyze problems involving neuroplasticity | Use marine biodiversity in practical exercises | Evaluate approaches to data analysis | Communicate findings about amino acids and proteins</t>
        </is>
      </c>
      <c r="N114" s="3" t="inlineStr">
        <is>
          <t>gene expression | muscular system | neuroplasticity | marine biodiversity | data analysis | amino acids and proteins | pattern formation | gene prediction</t>
        </is>
      </c>
      <c r="O114" s="6" t="inlineStr">
        <is>
          <t>CAS BI 335</t>
        </is>
      </c>
      <c r="P114" s="6" t="n">
        <v>0.25</v>
      </c>
      <c r="Q114" s="6" t="inlineStr">
        <is>
          <t>Elective (&lt;50%)</t>
        </is>
      </c>
    </row>
    <row r="115">
      <c r="A115" s="6" t="inlineStr">
        <is>
          <t>NEU|PSYC 2709</t>
        </is>
      </c>
      <c r="B115" s="6" t="inlineStr">
        <is>
          <t>NEU</t>
        </is>
      </c>
      <c r="C115" s="6" t="inlineStr">
        <is>
          <t>PSYC 2709</t>
        </is>
      </c>
      <c r="D115" s="6" t="inlineStr">
        <is>
          <t>Statistics for Psychology</t>
        </is>
      </c>
      <c r="E115" s="6" t="n">
        <v>4</v>
      </c>
      <c r="F115" s="6" t="inlineStr">
        <is>
          <t>Semester</t>
        </is>
      </c>
      <c r="G115" s="6" t="n">
        <v>4</v>
      </c>
      <c r="H115" s="6" t="inlineStr">
        <is>
          <t>Psychology</t>
        </is>
      </c>
      <c r="I115" s="6" t="inlineStr">
        <is>
          <t>Academic</t>
        </is>
      </c>
      <c r="J115" s="6" t="n">
        <v>200</v>
      </c>
      <c r="K115" s="3" t="inlineStr">
        <is>
          <t>SYNTHETIC course (not in the NU/NYU catalog; invented for test volume)</t>
        </is>
      </c>
      <c r="L115" s="3" t="inlineStr">
        <is>
          <t>Statistics for Psychology. Topics include sampling distributions, descriptive statistics, statistical software, research methods and hypothesis testing; later weeks address correlation and regression, t-tests and ANOVA and probability.</t>
        </is>
      </c>
      <c r="M115" s="3" t="inlineStr">
        <is>
          <t>Explain the core ideas of sampling distributions | Apply descriptive statistics to solve standard problems | Analyze problems involving statistical software | Use research methods in practical exercises | Evaluate approaches to hypothesis testing | Communicate findings about correlation and regression</t>
        </is>
      </c>
      <c r="N115" s="3" t="inlineStr">
        <is>
          <t>sampling distributions | descriptive statistics | statistical software | research methods | hypothesis testing | correlation and regression | t-tests and ANOVA | probability</t>
        </is>
      </c>
      <c r="O115" s="6" t="inlineStr">
        <is>
          <t>CAS PS 205</t>
        </is>
      </c>
      <c r="P115" s="6" t="n">
        <v>0.875</v>
      </c>
      <c r="Q115" s="6" t="inlineStr">
        <is>
          <t>Equivalent (&gt;=80%)</t>
        </is>
      </c>
    </row>
    <row r="116">
      <c r="A116" s="6" t="inlineStr">
        <is>
          <t>NEU|MATH 3709</t>
        </is>
      </c>
      <c r="B116" s="6" t="inlineStr">
        <is>
          <t>NEU</t>
        </is>
      </c>
      <c r="C116" s="6" t="inlineStr">
        <is>
          <t>MATH 3709</t>
        </is>
      </c>
      <c r="D116" s="6" t="inlineStr">
        <is>
          <t>Mathematical Modeling</t>
        </is>
      </c>
      <c r="E116" s="6" t="n">
        <v>4</v>
      </c>
      <c r="F116" s="6" t="inlineStr">
        <is>
          <t>Semester</t>
        </is>
      </c>
      <c r="G116" s="6" t="n">
        <v>4</v>
      </c>
      <c r="H116" s="6" t="inlineStr">
        <is>
          <t>Mathematics</t>
        </is>
      </c>
      <c r="I116" s="6" t="inlineStr">
        <is>
          <t>Academic</t>
        </is>
      </c>
      <c r="J116" s="6" t="n">
        <v>300</v>
      </c>
      <c r="K116" s="3" t="inlineStr">
        <is>
          <t>SYNTHETIC course (not in the NU/NYU catalog; invented for test volume)</t>
        </is>
      </c>
      <c r="L116" s="3" t="inlineStr">
        <is>
          <t>Mathematical Modeling. Topics include discrete models, model validation, differential equations models, linear transformations and data fitting; later weeks address simulation, optimization and model formulation.</t>
        </is>
      </c>
      <c r="M116" s="3" t="inlineStr">
        <is>
          <t>Explain the core ideas of discrete models | Apply model validation to solve standard problems | Analyze problems involving differential equations models | Use linear transformations in practical exercises | Evaluate approaches to data fitting | Communicate findings about simulation</t>
        </is>
      </c>
      <c r="N116" s="3" t="inlineStr">
        <is>
          <t>discrete models | model validation | differential equations models | linear transformations | data fitting | simulation | optimization | model formulation</t>
        </is>
      </c>
      <c r="O116" s="6" t="inlineStr">
        <is>
          <t>CAS MA 360</t>
        </is>
      </c>
      <c r="P116" s="6" t="n">
        <v>0.875</v>
      </c>
      <c r="Q116" s="6" t="inlineStr">
        <is>
          <t>Equivalent (&gt;=80%)</t>
        </is>
      </c>
    </row>
    <row r="117">
      <c r="A117" s="6" t="inlineStr">
        <is>
          <t>NEU|PSYC 3712</t>
        </is>
      </c>
      <c r="B117" s="6" t="inlineStr">
        <is>
          <t>NEU</t>
        </is>
      </c>
      <c r="C117" s="6" t="inlineStr">
        <is>
          <t>PSYC 3712</t>
        </is>
      </c>
      <c r="D117" s="6" t="inlineStr">
        <is>
          <t>Sleep and Circadian Rhythms</t>
        </is>
      </c>
      <c r="E117" s="6" t="n">
        <v>4</v>
      </c>
      <c r="F117" s="6" t="inlineStr">
        <is>
          <t>Semester</t>
        </is>
      </c>
      <c r="G117" s="6" t="n">
        <v>4</v>
      </c>
      <c r="H117" s="6" t="inlineStr">
        <is>
          <t>Psychology</t>
        </is>
      </c>
      <c r="I117" s="6" t="inlineStr">
        <is>
          <t>Academic</t>
        </is>
      </c>
      <c r="J117" s="6" t="n">
        <v>300</v>
      </c>
      <c r="K117" s="3" t="inlineStr">
        <is>
          <t>SYNTHETIC course (not in the NU/NYU catalog; invented for test volume)</t>
        </is>
      </c>
      <c r="L117" s="3" t="inlineStr">
        <is>
          <t>Sleep and Circadian Rhythms. Topics include circadian rhythms, sleep across the lifespan, sleep disorders, emotional development and sleep deprivation; later weeks address sleep regulation, sleep stages and dreams.</t>
        </is>
      </c>
      <c r="M117" s="3" t="inlineStr">
        <is>
          <t>Explain the core ideas of circadian rhythms | Apply sleep across the lifespan to solve standard problems | Analyze problems involving sleep disorders | Use emotional development in practical exercises | Evaluate approaches to sleep deprivation | Communicate findings about sleep regulation</t>
        </is>
      </c>
      <c r="N117" s="3" t="inlineStr">
        <is>
          <t>circadian rhythms | sleep across the lifespan | sleep disorders | emotional development | sleep deprivation | sleep regulation | sleep stages | dreams</t>
        </is>
      </c>
      <c r="O117" s="6" t="inlineStr">
        <is>
          <t>CAS PS 360</t>
        </is>
      </c>
      <c r="P117" s="6" t="n">
        <v>0.875</v>
      </c>
      <c r="Q117" s="6" t="inlineStr">
        <is>
          <t>Equivalent (&gt;=80%)</t>
        </is>
      </c>
    </row>
    <row r="118">
      <c r="A118" s="6" t="inlineStr">
        <is>
          <t>NEU|CS 1706</t>
        </is>
      </c>
      <c r="B118" s="6" t="inlineStr">
        <is>
          <t>NEU</t>
        </is>
      </c>
      <c r="C118" s="6" t="inlineStr">
        <is>
          <t>CS 1706</t>
        </is>
      </c>
      <c r="D118" s="6" t="inlineStr">
        <is>
          <t>Web Development Foundations</t>
        </is>
      </c>
      <c r="E118" s="6" t="n">
        <v>4</v>
      </c>
      <c r="F118" s="6" t="inlineStr">
        <is>
          <t>Semester</t>
        </is>
      </c>
      <c r="G118" s="6" t="n">
        <v>4</v>
      </c>
      <c r="H118" s="6" t="inlineStr">
        <is>
          <t>Computer Science</t>
        </is>
      </c>
      <c r="I118" s="6" t="inlineStr">
        <is>
          <t>Academic</t>
        </is>
      </c>
      <c r="J118" s="6" t="n">
        <v>100</v>
      </c>
      <c r="K118" s="3" t="inlineStr">
        <is>
          <t>SYNTHETIC course (not in the NU/NYU catalog; invented for test volume)</t>
        </is>
      </c>
      <c r="L118" s="3" t="inlineStr">
        <is>
          <t>Web Development Foundations. Topics include CSS, DOM manipulation, forms and validation, version control and HTML; later weeks address HTTP basics, fault tolerance and JavaScript.</t>
        </is>
      </c>
      <c r="M118" s="3" t="inlineStr">
        <is>
          <t>Explain the core ideas of CSS | Apply DOM manipulation to solve standard problems | Analyze problems involving forms and validation | Use version control in practical exercises | Evaluate approaches to HTML | Communicate findings about HTTP basics</t>
        </is>
      </c>
      <c r="N118" s="3" t="inlineStr">
        <is>
          <t>CSS | DOM manipulation | forms and validation | version control | HTML | HTTP basics | fault tolerance | JavaScript</t>
        </is>
      </c>
      <c r="O118" s="6" t="inlineStr">
        <is>
          <t>CAS CS 122</t>
        </is>
      </c>
      <c r="P118" s="6" t="n">
        <v>0.875</v>
      </c>
      <c r="Q118" s="6" t="inlineStr">
        <is>
          <t>Equivalent (&gt;=80%)</t>
        </is>
      </c>
    </row>
    <row r="119">
      <c r="A119" s="6" t="inlineStr">
        <is>
          <t>NEU|BIOL 1706</t>
        </is>
      </c>
      <c r="B119" s="6" t="inlineStr">
        <is>
          <t>NEU</t>
        </is>
      </c>
      <c r="C119" s="6" t="inlineStr">
        <is>
          <t>BIOL 1706</t>
        </is>
      </c>
      <c r="D119" s="6" t="inlineStr">
        <is>
          <t>Human Biology</t>
        </is>
      </c>
      <c r="E119" s="6" t="n">
        <v>5</v>
      </c>
      <c r="F119" s="6" t="inlineStr">
        <is>
          <t>Semester</t>
        </is>
      </c>
      <c r="G119" s="6" t="n">
        <v>5</v>
      </c>
      <c r="H119" s="6" t="inlineStr">
        <is>
          <t>Biology</t>
        </is>
      </c>
      <c r="I119" s="6" t="inlineStr">
        <is>
          <t>Academic</t>
        </is>
      </c>
      <c r="J119" s="6" t="n">
        <v>100</v>
      </c>
      <c r="K119" s="3" t="inlineStr">
        <is>
          <t>SYNTHETIC course (not in the NU/NYU catalog; invented for test volume)</t>
        </is>
      </c>
      <c r="L119" s="3" t="inlineStr">
        <is>
          <t>Human Biology. Topics include nutrition, reproduction, genetics and heredity, human evolution and health and society; later weeks address human organ systems, infectious disease and cell structure.</t>
        </is>
      </c>
      <c r="M119" s="3" t="inlineStr">
        <is>
          <t>Explain the core ideas of nutrition | Apply reproduction to solve standard problems | Analyze problems involving genetics and heredity | Use human evolution in practical exercises | Evaluate approaches to health and society | Communicate findings about human organ systems</t>
        </is>
      </c>
      <c r="N119" s="3" t="inlineStr">
        <is>
          <t>nutrition | reproduction | genetics and heredity | human evolution | health and society | human organ systems | infectious disease | cell structure</t>
        </is>
      </c>
      <c r="O119" s="6" t="inlineStr">
        <is>
          <t>CAS BI 105</t>
        </is>
      </c>
      <c r="P119" s="6" t="n">
        <v>1</v>
      </c>
      <c r="Q119" s="6" t="inlineStr">
        <is>
          <t>Equivalent (&gt;=80%)</t>
        </is>
      </c>
    </row>
    <row r="120">
      <c r="A120" s="6" t="inlineStr">
        <is>
          <t>NEU|PSYC 3715</t>
        </is>
      </c>
      <c r="B120" s="6" t="inlineStr">
        <is>
          <t>NEU</t>
        </is>
      </c>
      <c r="C120" s="6" t="inlineStr">
        <is>
          <t>PSYC 3715</t>
        </is>
      </c>
      <c r="D120" s="6" t="inlineStr">
        <is>
          <t>Introduction to Cognitive Psychology</t>
        </is>
      </c>
      <c r="E120" s="6" t="n">
        <v>4</v>
      </c>
      <c r="F120" s="6" t="inlineStr">
        <is>
          <t>Semester</t>
        </is>
      </c>
      <c r="G120" s="6" t="n">
        <v>4</v>
      </c>
      <c r="H120" s="6" t="inlineStr">
        <is>
          <t>Psychology</t>
        </is>
      </c>
      <c r="I120" s="6" t="inlineStr">
        <is>
          <t>Academic</t>
        </is>
      </c>
      <c r="J120" s="6" t="n">
        <v>300</v>
      </c>
      <c r="K120" s="3" t="inlineStr">
        <is>
          <t>SYNTHETIC course (not in the NU/NYU catalog; invented for test volume)</t>
        </is>
      </c>
      <c r="L120" s="3" t="inlineStr">
        <is>
          <t>Introduction to Cognitive Psychology. Topics include working memory, attention, problem solving, categorization and language; later weeks address prosocial behavior, reasoning and long-term memory.</t>
        </is>
      </c>
      <c r="M120" s="3" t="inlineStr">
        <is>
          <t>Explain the core ideas of working memory | Apply attention to solve standard problems | Analyze problems involving problem solving | Use categorization in practical exercises | Evaluate approaches to language | Communicate findings about prosocial behavior</t>
        </is>
      </c>
      <c r="N120" s="3" t="inlineStr">
        <is>
          <t>working memory | attention | problem solving | categorization | language | prosocial behavior | reasoning | long-term memory</t>
        </is>
      </c>
      <c r="O120" s="6" t="inlineStr">
        <is>
          <t>CAS PS 336</t>
        </is>
      </c>
      <c r="P120" s="6" t="n">
        <v>0.875</v>
      </c>
      <c r="Q120" s="6" t="inlineStr">
        <is>
          <t>Equivalent (&gt;=80%)</t>
        </is>
      </c>
    </row>
    <row r="121">
      <c r="A121" s="6" t="inlineStr">
        <is>
          <t>NEU|BIOL 3718</t>
        </is>
      </c>
      <c r="B121" s="6" t="inlineStr">
        <is>
          <t>NEU</t>
        </is>
      </c>
      <c r="C121" s="6" t="inlineStr">
        <is>
          <t>BIOL 3718</t>
        </is>
      </c>
      <c r="D121" s="6" t="inlineStr">
        <is>
          <t>Conservation Biology</t>
        </is>
      </c>
      <c r="E121" s="6" t="n">
        <v>5</v>
      </c>
      <c r="F121" s="6" t="inlineStr">
        <is>
          <t>Semester</t>
        </is>
      </c>
      <c r="G121" s="6" t="n">
        <v>5</v>
      </c>
      <c r="H121" s="6" t="inlineStr">
        <is>
          <t>Biology</t>
        </is>
      </c>
      <c r="I121" s="6" t="inlineStr">
        <is>
          <t>Academic</t>
        </is>
      </c>
      <c r="J121" s="6" t="n">
        <v>300</v>
      </c>
      <c r="K121" s="3" t="inlineStr">
        <is>
          <t>SYNTHETIC course (not in the NU/NYU catalog; invented for test volume)</t>
        </is>
      </c>
      <c r="L121" s="3" t="inlineStr">
        <is>
          <t>Conservation Biology. Topics include protected areas, restoration ecology, extinction, population viability and conservation genetics; later weeks address biodiversity, mating systems and conservation policy.</t>
        </is>
      </c>
      <c r="M121" s="3" t="inlineStr">
        <is>
          <t>Explain the core ideas of protected areas | Apply restoration ecology to solve standard problems | Analyze problems involving extinction | Use population viability in practical exercises | Evaluate approaches to conservation genetics | Communicate findings about biodiversity</t>
        </is>
      </c>
      <c r="N121" s="3" t="inlineStr">
        <is>
          <t>protected areas | restoration ecology | extinction | population viability | conservation genetics | biodiversity | mating systems | conservation policy</t>
        </is>
      </c>
      <c r="O121" s="6" t="inlineStr">
        <is>
          <t>CAS BI 345</t>
        </is>
      </c>
      <c r="P121" s="6" t="n">
        <v>0.875</v>
      </c>
      <c r="Q121" s="6" t="inlineStr">
        <is>
          <t>Equivalent (&gt;=80%)</t>
        </is>
      </c>
    </row>
    <row r="122">
      <c r="A122" s="6" t="inlineStr">
        <is>
          <t>NEU|PSYC 2712</t>
        </is>
      </c>
      <c r="B122" s="6" t="inlineStr">
        <is>
          <t>NEU</t>
        </is>
      </c>
      <c r="C122" s="6" t="inlineStr">
        <is>
          <t>PSYC 2712</t>
        </is>
      </c>
      <c r="D122" s="6" t="inlineStr">
        <is>
          <t>ADHD and Trait Theory</t>
        </is>
      </c>
      <c r="E122" s="6" t="n">
        <v>4</v>
      </c>
      <c r="F122" s="6" t="inlineStr">
        <is>
          <t>Semester</t>
        </is>
      </c>
      <c r="G122" s="6" t="n">
        <v>4</v>
      </c>
      <c r="H122" s="6" t="inlineStr">
        <is>
          <t>Psychology</t>
        </is>
      </c>
      <c r="I122" s="6" t="inlineStr">
        <is>
          <t>Academic</t>
        </is>
      </c>
      <c r="J122" s="6" t="n">
        <v>200</v>
      </c>
      <c r="K122" s="3" t="inlineStr">
        <is>
          <t>SYNTHETIC course (not in the NU/NYU catalog; invented for test volume)</t>
        </is>
      </c>
      <c r="L122" s="3" t="inlineStr">
        <is>
          <t>ADHD and Trait Theory. Topics include emotion regulation, family systems, trait theory, relationships and culture and personality; later weeks address personality assessment, pain and culture and emotion.</t>
        </is>
      </c>
      <c r="M122" s="3" t="inlineStr">
        <is>
          <t>Explain the core ideas of emotion regulation | Apply family systems to solve standard problems | Analyze problems involving trait theory | Use relationships in practical exercises | Evaluate approaches to culture and personality | Communicate findings about personality assessment</t>
        </is>
      </c>
      <c r="N122" s="3" t="inlineStr">
        <is>
          <t>emotion regulation | family systems | trait theory | relationships | culture and personality | personality assessment | pain | culture and emotion</t>
        </is>
      </c>
      <c r="O122" s="6" t="inlineStr">
        <is>
          <t>CAS PS 251</t>
        </is>
      </c>
      <c r="P122" s="6" t="n">
        <v>0.375</v>
      </c>
      <c r="Q122" s="6" t="inlineStr">
        <is>
          <t>Elective (&lt;50%)</t>
        </is>
      </c>
    </row>
    <row r="123">
      <c r="A123" s="6" t="inlineStr">
        <is>
          <t>NEU|ECON 2712</t>
        </is>
      </c>
      <c r="B123" s="6" t="inlineStr">
        <is>
          <t>NEU</t>
        </is>
      </c>
      <c r="C123" s="6" t="inlineStr">
        <is>
          <t>ECON 2712</t>
        </is>
      </c>
      <c r="D123" s="6" t="inlineStr">
        <is>
          <t>Environmental Economics</t>
        </is>
      </c>
      <c r="E123" s="6" t="n">
        <v>4</v>
      </c>
      <c r="F123" s="6" t="inlineStr">
        <is>
          <t>Semester</t>
        </is>
      </c>
      <c r="G123" s="6" t="n">
        <v>4</v>
      </c>
      <c r="H123" s="6" t="inlineStr">
        <is>
          <t>Economics</t>
        </is>
      </c>
      <c r="I123" s="6" t="inlineStr">
        <is>
          <t>Academic</t>
        </is>
      </c>
      <c r="J123" s="6" t="n">
        <v>200</v>
      </c>
      <c r="K123" s="3" t="inlineStr">
        <is>
          <t>SYNTHETIC course (not in the NU/NYU catalog; invented for test volume)</t>
        </is>
      </c>
      <c r="L123" s="3" t="inlineStr">
        <is>
          <t>Environmental Economics. Topics include carbon pricing, externalities, mechanism design, cost-benefit analysis and climate policy; later weeks address pollution regulation, public goods and valuation methods.</t>
        </is>
      </c>
      <c r="M123" s="3" t="inlineStr">
        <is>
          <t>Explain the core ideas of carbon pricing | Apply externalities to solve standard problems | Analyze problems involving mechanism design | Use cost-benefit analysis in practical exercises | Evaluate approaches to climate policy | Communicate findings about pollution regulation</t>
        </is>
      </c>
      <c r="N123" s="3" t="inlineStr">
        <is>
          <t>carbon pricing | externalities | mechanism design | cost-benefit analysis | climate policy | pollution regulation | public goods | valuation methods</t>
        </is>
      </c>
      <c r="O123" s="6" t="inlineStr">
        <is>
          <t>CAS EC 270</t>
        </is>
      </c>
      <c r="P123" s="6" t="n">
        <v>0.875</v>
      </c>
      <c r="Q123" s="6" t="inlineStr">
        <is>
          <t>Equivalent (&gt;=80%)</t>
        </is>
      </c>
    </row>
    <row r="124">
      <c r="A124" s="6" t="inlineStr">
        <is>
          <t>NEU|ECON 2715</t>
        </is>
      </c>
      <c r="B124" s="6" t="inlineStr">
        <is>
          <t>NEU</t>
        </is>
      </c>
      <c r="C124" s="6" t="inlineStr">
        <is>
          <t>ECON 2715</t>
        </is>
      </c>
      <c r="D124" s="6" t="inlineStr">
        <is>
          <t>Bank Regulation and Tariffs and Quotas</t>
        </is>
      </c>
      <c r="E124" s="6" t="n">
        <v>4</v>
      </c>
      <c r="F124" s="6" t="inlineStr">
        <is>
          <t>Semester</t>
        </is>
      </c>
      <c r="G124" s="6" t="n">
        <v>4</v>
      </c>
      <c r="H124" s="6" t="inlineStr">
        <is>
          <t>Economics</t>
        </is>
      </c>
      <c r="I124" s="6" t="inlineStr">
        <is>
          <t>Academic</t>
        </is>
      </c>
      <c r="J124" s="6" t="n">
        <v>200</v>
      </c>
      <c r="K124" s="3" t="inlineStr">
        <is>
          <t>SYNTHETIC course (not in the NU/NYU catalog; invented for test volume)</t>
        </is>
      </c>
      <c r="L124" s="3" t="inlineStr">
        <is>
          <t>Bank Regulation and Tariffs and Quotas. Topics include comparative advantage, tariffs and quotas, trade models, human capital and vector autoregression; later weeks address long-run growth models, externalities and incentives.</t>
        </is>
      </c>
      <c r="M124" s="3" t="inlineStr">
        <is>
          <t>Explain the core ideas of comparative advantage | Apply tariffs and quotas to solve standard problems | Analyze problems involving trade models | Use human capital in practical exercises | Evaluate approaches to vector autoregression | Communicate findings about long-run growth models</t>
        </is>
      </c>
      <c r="N124" s="3" t="inlineStr">
        <is>
          <t>comparative advantage | tariffs and quotas | trade models | human capital | vector autoregression | long-run growth models | externalities | incentives</t>
        </is>
      </c>
      <c r="O124" s="6" t="inlineStr">
        <is>
          <t>CAS EC 250</t>
        </is>
      </c>
      <c r="P124" s="6" t="n">
        <v>0.375</v>
      </c>
      <c r="Q124" s="6" t="inlineStr">
        <is>
          <t>Elective (&lt;50%)</t>
        </is>
      </c>
    </row>
    <row r="125">
      <c r="A125" s="6" t="inlineStr">
        <is>
          <t>NEU|MATH 3712</t>
        </is>
      </c>
      <c r="B125" s="6" t="inlineStr">
        <is>
          <t>NEU</t>
        </is>
      </c>
      <c r="C125" s="6" t="inlineStr">
        <is>
          <t>MATH 3712</t>
        </is>
      </c>
      <c r="D125" s="6" t="inlineStr">
        <is>
          <t>Cauchy's Theorem and Propositional Logic</t>
        </is>
      </c>
      <c r="E125" s="6" t="n">
        <v>4</v>
      </c>
      <c r="F125" s="6" t="inlineStr">
        <is>
          <t>Semester</t>
        </is>
      </c>
      <c r="G125" s="6" t="n">
        <v>4</v>
      </c>
      <c r="H125" s="6" t="inlineStr">
        <is>
          <t>Mathematics</t>
        </is>
      </c>
      <c r="I125" s="6" t="inlineStr">
        <is>
          <t>Academic</t>
        </is>
      </c>
      <c r="J125" s="6" t="n">
        <v>300</v>
      </c>
      <c r="K125" s="3" t="inlineStr">
        <is>
          <t>SYNTHETIC course (not in the NU/NYU catalog; invented for test volume)</t>
        </is>
      </c>
      <c r="L125" s="3" t="inlineStr">
        <is>
          <t>Cauchy's Theorem and Propositional Logic. Topics include orthogonality, number systems, mathematical induction, analytic functions and model diagnostics; later weeks address proof techniques, complex integration and linear programming.</t>
        </is>
      </c>
      <c r="M125" s="3" t="inlineStr">
        <is>
          <t>Explain the core ideas of orthogonality | Apply number systems to solve standard problems | Analyze problems involving mathematical induction | Use analytic functions in practical exercises | Evaluate approaches to model diagnostics | Communicate findings about proof techniques</t>
        </is>
      </c>
      <c r="N125" s="3" t="inlineStr">
        <is>
          <t>orthogonality | number systems | mathematical induction | analytic functions | model diagnostics | proof techniques | complex integration | linear programming</t>
        </is>
      </c>
      <c r="O125" s="6" t="inlineStr">
        <is>
          <t>CAS MA 300</t>
        </is>
      </c>
      <c r="P125" s="6" t="n">
        <v>0.375</v>
      </c>
      <c r="Q125" s="6" t="inlineStr">
        <is>
          <t>Elective (&lt;50%)</t>
        </is>
      </c>
    </row>
    <row r="126">
      <c r="A126" s="6" t="inlineStr">
        <is>
          <t>NEU|PSYC 3718</t>
        </is>
      </c>
      <c r="B126" s="6" t="inlineStr">
        <is>
          <t>NEU</t>
        </is>
      </c>
      <c r="C126" s="6" t="inlineStr">
        <is>
          <t>PSYC 3718</t>
        </is>
      </c>
      <c r="D126" s="6" t="inlineStr">
        <is>
          <t>Theories of Counseling</t>
        </is>
      </c>
      <c r="E126" s="6" t="n">
        <v>4</v>
      </c>
      <c r="F126" s="6" t="inlineStr">
        <is>
          <t>Semester</t>
        </is>
      </c>
      <c r="G126" s="6" t="n">
        <v>4</v>
      </c>
      <c r="H126" s="6" t="inlineStr">
        <is>
          <t>Psychology</t>
        </is>
      </c>
      <c r="I126" s="6" t="inlineStr">
        <is>
          <t>Academic</t>
        </is>
      </c>
      <c r="J126" s="6" t="n">
        <v>300</v>
      </c>
      <c r="K126" s="3" t="inlineStr">
        <is>
          <t>SYNTHETIC course (not in the NU/NYU catalog; invented for test volume)</t>
        </is>
      </c>
      <c r="L126" s="3" t="inlineStr">
        <is>
          <t>Theories of Counseling. Topics include individualism and collectivism, humanistic approaches, sleep, family systems and cognitive-behavioral therapy; later weeks address case formulation, counseling relationship and psychodynamic approaches.</t>
        </is>
      </c>
      <c r="M126" s="3" t="inlineStr">
        <is>
          <t>Explain the core ideas of individualism and collectivism | Apply humanistic approaches to solve standard problems | Analyze problems involving sleep | Use family systems in practical exercises | Evaluate approaches to cognitive-behavioral therapy | Communicate findings about case formulation</t>
        </is>
      </c>
      <c r="N126" s="3" t="inlineStr">
        <is>
          <t>individualism and collectivism | humanistic approaches | sleep | family systems | cognitive-behavioral therapy | case formulation | counseling relationship | psychodynamic approaches</t>
        </is>
      </c>
      <c r="O126" s="6" t="inlineStr">
        <is>
          <t>CAS PS 375</t>
        </is>
      </c>
      <c r="P126" s="6" t="n">
        <v>0.75</v>
      </c>
      <c r="Q126" s="6" t="inlineStr">
        <is>
          <t>Evaluator decides (50-79%)</t>
        </is>
      </c>
    </row>
    <row r="127">
      <c r="A127" s="6" t="inlineStr">
        <is>
          <t>NYU|ECON-UA 363</t>
        </is>
      </c>
      <c r="B127" s="6" t="inlineStr">
        <is>
          <t>NYU</t>
        </is>
      </c>
      <c r="C127" s="6" t="inlineStr">
        <is>
          <t>ECON-UA 363</t>
        </is>
      </c>
      <c r="D127" s="6" t="inlineStr">
        <is>
          <t>Behavioral Economics</t>
        </is>
      </c>
      <c r="E127" s="6" t="n">
        <v>4</v>
      </c>
      <c r="F127" s="6" t="inlineStr">
        <is>
          <t>Semester</t>
        </is>
      </c>
      <c r="G127" s="6" t="n">
        <v>4</v>
      </c>
      <c r="H127" s="6" t="inlineStr">
        <is>
          <t>Economics</t>
        </is>
      </c>
      <c r="I127" s="6" t="inlineStr">
        <is>
          <t>Academic</t>
        </is>
      </c>
      <c r="J127" s="6" t="n">
        <v>300</v>
      </c>
      <c r="K127" s="3" t="inlineStr">
        <is>
          <t>SYNTHETIC course (not in the NU/NYU catalog; invented for test volume)</t>
        </is>
      </c>
      <c r="L127" s="3" t="inlineStr">
        <is>
          <t>Behavioral Economics. Topics include financial crises, experiments, prospect theory, time inconsistency and behavioral finance; later weeks address heuristics and biases, social preferences and bounded rationality.</t>
        </is>
      </c>
      <c r="M127" s="3" t="inlineStr">
        <is>
          <t>Explain the core ideas of financial crises | Apply experiments to solve standard problems | Analyze problems involving prospect theory | Use time inconsistency in practical exercises | Evaluate approaches to behavioral finance | Communicate findings about heuristics and biases</t>
        </is>
      </c>
      <c r="N127" s="3" t="inlineStr">
        <is>
          <t>financial crises | experiments | prospect theory | time inconsistency | behavioral finance | heuristics and biases | social preferences | bounded rationality</t>
        </is>
      </c>
      <c r="O127" s="6" t="inlineStr">
        <is>
          <t>CAS EC 315</t>
        </is>
      </c>
      <c r="P127" s="6" t="n">
        <v>0.875</v>
      </c>
      <c r="Q127" s="6" t="inlineStr">
        <is>
          <t>Equivalent (&gt;=80%)</t>
        </is>
      </c>
    </row>
    <row r="128">
      <c r="A128" s="6" t="inlineStr">
        <is>
          <t>NYU|MATH-UA 363</t>
        </is>
      </c>
      <c r="B128" s="6" t="inlineStr">
        <is>
          <t>NYU</t>
        </is>
      </c>
      <c r="C128" s="6" t="inlineStr">
        <is>
          <t>MATH-UA 363</t>
        </is>
      </c>
      <c r="D128" s="6" t="inlineStr">
        <is>
          <t>Partial Differential Equations</t>
        </is>
      </c>
      <c r="E128" s="6" t="n">
        <v>4</v>
      </c>
      <c r="F128" s="6" t="inlineStr">
        <is>
          <t>Semester</t>
        </is>
      </c>
      <c r="G128" s="6" t="n">
        <v>4</v>
      </c>
      <c r="H128" s="6" t="inlineStr">
        <is>
          <t>Mathematics</t>
        </is>
      </c>
      <c r="I128" s="6" t="inlineStr">
        <is>
          <t>Academic</t>
        </is>
      </c>
      <c r="J128" s="6" t="n">
        <v>300</v>
      </c>
      <c r="K128" s="3" t="inlineStr">
        <is>
          <t>SYNTHETIC course (not in the NU/NYU catalog; invented for test volume)</t>
        </is>
      </c>
      <c r="L128" s="3" t="inlineStr">
        <is>
          <t>Partial Differential Equations. Topics include separation of variables, wave equation, Cauchy's theorem, Fourier series and permutation groups; later weeks address Laplace equation, boundary value problems and characteristics.</t>
        </is>
      </c>
      <c r="M128" s="3" t="inlineStr">
        <is>
          <t>Explain the core ideas of separation of variables | Apply wave equation to solve standard problems | Analyze problems involving Cauchy's theorem | Use Fourier series in practical exercises | Evaluate approaches to permutation groups | Communicate findings about Laplace equation</t>
        </is>
      </c>
      <c r="N128" s="3" t="inlineStr">
        <is>
          <t>separation of variables | wave equation | Cauchy's theorem | Fourier series | permutation groups | Laplace equation | boundary value problems | characteristics</t>
        </is>
      </c>
      <c r="O128" s="6" t="inlineStr">
        <is>
          <t>CAS MA 355</t>
        </is>
      </c>
      <c r="P128" s="6" t="n">
        <v>0.75</v>
      </c>
      <c r="Q128" s="6" t="inlineStr">
        <is>
          <t>Evaluator decides (50-79%)</t>
        </is>
      </c>
    </row>
    <row r="129">
      <c r="A129" s="6" t="inlineStr">
        <is>
          <t>NYU|BIOL-UA 63</t>
        </is>
      </c>
      <c r="B129" s="6" t="inlineStr">
        <is>
          <t>NYU</t>
        </is>
      </c>
      <c r="C129" s="6" t="inlineStr">
        <is>
          <t>BIOL-UA 63</t>
        </is>
      </c>
      <c r="D129" s="6" t="inlineStr">
        <is>
          <t>Human Biology</t>
        </is>
      </c>
      <c r="E129" s="6" t="n">
        <v>4</v>
      </c>
      <c r="F129" s="6" t="inlineStr">
        <is>
          <t>Semester</t>
        </is>
      </c>
      <c r="G129" s="6" t="n">
        <v>4</v>
      </c>
      <c r="H129" s="6" t="inlineStr">
        <is>
          <t>Biology</t>
        </is>
      </c>
      <c r="I129" s="6" t="inlineStr">
        <is>
          <t>Academic</t>
        </is>
      </c>
      <c r="J129" s="6" t="n">
        <v>100</v>
      </c>
      <c r="K129" s="3" t="inlineStr">
        <is>
          <t>SYNTHETIC course (not in the NU/NYU catalog; invented for test volume)</t>
        </is>
      </c>
      <c r="L129" s="3" t="inlineStr">
        <is>
          <t>Human Biology. Topics include health and society, homeostasis, cell structure, genetics and heredity and human organ systems; later weeks address nutrition, reproduction and infectious disease.</t>
        </is>
      </c>
      <c r="M129" s="3" t="inlineStr">
        <is>
          <t>Explain the core ideas of health and society | Apply homeostasis to solve standard problems | Analyze problems involving cell structure | Use genetics and heredity in practical exercises | Evaluate approaches to human organ systems | Communicate findings about nutrition</t>
        </is>
      </c>
      <c r="N129" s="3" t="inlineStr">
        <is>
          <t>health and society | homeostasis | cell structure | genetics and heredity | human organ systems | nutrition | reproduction | infectious disease</t>
        </is>
      </c>
      <c r="O129" s="6" t="inlineStr">
        <is>
          <t>CAS BI 105</t>
        </is>
      </c>
      <c r="P129" s="6" t="n">
        <v>0.875</v>
      </c>
      <c r="Q129" s="6" t="inlineStr">
        <is>
          <t>Equivalent (&gt;=80%)</t>
        </is>
      </c>
    </row>
    <row r="130">
      <c r="A130" s="6" t="inlineStr">
        <is>
          <t>NYU|MATH-UA 366</t>
        </is>
      </c>
      <c r="B130" s="6" t="inlineStr">
        <is>
          <t>NYU</t>
        </is>
      </c>
      <c r="C130" s="6" t="inlineStr">
        <is>
          <t>MATH-UA 366</t>
        </is>
      </c>
      <c r="D130" s="6" t="inlineStr">
        <is>
          <t>Complex Variables</t>
        </is>
      </c>
      <c r="E130" s="6" t="n">
        <v>4</v>
      </c>
      <c r="F130" s="6" t="inlineStr">
        <is>
          <t>Semester</t>
        </is>
      </c>
      <c r="G130" s="6" t="n">
        <v>4</v>
      </c>
      <c r="H130" s="6" t="inlineStr">
        <is>
          <t>Mathematics</t>
        </is>
      </c>
      <c r="I130" s="6" t="inlineStr">
        <is>
          <t>Academic</t>
        </is>
      </c>
      <c r="J130" s="6" t="n">
        <v>300</v>
      </c>
      <c r="K130" s="3" t="inlineStr">
        <is>
          <t>SYNTHETIC course (not in the NU/NYU catalog; invented for test volume)</t>
        </is>
      </c>
      <c r="L130" s="3" t="inlineStr">
        <is>
          <t>Complex Variables. Topics include maximum likelihood, Galois theory, analytic functions, residues and limit theorems; later weeks address Cauchy-Riemann equations, complex numbers and complex integration.</t>
        </is>
      </c>
      <c r="M130" s="3" t="inlineStr">
        <is>
          <t>Explain the core ideas of maximum likelihood | Apply Galois theory to solve standard problems | Analyze problems involving analytic functions | Use residues in practical exercises | Evaluate approaches to limit theorems | Communicate findings about Cauchy-Riemann equations</t>
        </is>
      </c>
      <c r="N130" s="3" t="inlineStr">
        <is>
          <t>maximum likelihood | Galois theory | analytic functions | residues | limit theorems | Cauchy-Riemann equations | complex numbers | complex integration</t>
        </is>
      </c>
      <c r="O130" s="6" t="inlineStr">
        <is>
          <t>CAS MA 345</t>
        </is>
      </c>
      <c r="P130" s="6" t="n">
        <v>0.625</v>
      </c>
      <c r="Q130" s="6" t="inlineStr">
        <is>
          <t>Evaluator decides (50-79%)</t>
        </is>
      </c>
    </row>
    <row r="131">
      <c r="A131" s="6" t="inlineStr">
        <is>
          <t>NYU|CSCI-UA 63</t>
        </is>
      </c>
      <c r="B131" s="6" t="inlineStr">
        <is>
          <t>NYU</t>
        </is>
      </c>
      <c r="C131" s="6" t="inlineStr">
        <is>
          <t>CSCI-UA 63</t>
        </is>
      </c>
      <c r="D131" s="6" t="inlineStr">
        <is>
          <t>Web Development Foundations</t>
        </is>
      </c>
      <c r="E131" s="6" t="n">
        <v>4</v>
      </c>
      <c r="F131" s="6" t="inlineStr">
        <is>
          <t>Semester</t>
        </is>
      </c>
      <c r="G131" s="6" t="n">
        <v>4</v>
      </c>
      <c r="H131" s="6" t="inlineStr">
        <is>
          <t>Computer Science</t>
        </is>
      </c>
      <c r="I131" s="6" t="inlineStr">
        <is>
          <t>Academic</t>
        </is>
      </c>
      <c r="J131" s="6" t="n">
        <v>100</v>
      </c>
      <c r="K131" s="3" t="inlineStr">
        <is>
          <t>SYNTHETIC course (not in the NU/NYU catalog; invented for test volume)</t>
        </is>
      </c>
      <c r="L131" s="3" t="inlineStr">
        <is>
          <t>Web Development Foundations. Topics include shortest paths, event handling, HTML, HTTP basics and debugging and testing; later weeks address version control, responsive design and DOM manipulation.</t>
        </is>
      </c>
      <c r="M131" s="3" t="inlineStr">
        <is>
          <t>Explain the core ideas of shortest paths | Apply event handling to solve standard problems | Analyze problems involving HTML | Use HTTP basics in practical exercises | Evaluate approaches to debugging and testing | Communicate findings about version control</t>
        </is>
      </c>
      <c r="N131" s="3" t="inlineStr">
        <is>
          <t>shortest paths | event handling | HTML | HTTP basics | debugging and testing | version control | responsive design | DOM manipulation</t>
        </is>
      </c>
      <c r="O131" s="6" t="inlineStr">
        <is>
          <t>CAS CS 122</t>
        </is>
      </c>
      <c r="P131" s="6" t="n">
        <v>0.625</v>
      </c>
      <c r="Q131" s="6" t="inlineStr">
        <is>
          <t>Evaluator decides (50-79%)</t>
        </is>
      </c>
    </row>
    <row r="132">
      <c r="A132" s="6" t="inlineStr">
        <is>
          <t>NYU|ECON-UA 172</t>
        </is>
      </c>
      <c r="B132" s="6" t="inlineStr">
        <is>
          <t>NYU</t>
        </is>
      </c>
      <c r="C132" s="6" t="inlineStr">
        <is>
          <t>ECON-UA 172</t>
        </is>
      </c>
      <c r="D132" s="6" t="inlineStr">
        <is>
          <t>Environmental Economics</t>
        </is>
      </c>
      <c r="E132" s="6" t="n">
        <v>4</v>
      </c>
      <c r="F132" s="6" t="inlineStr">
        <is>
          <t>Semester</t>
        </is>
      </c>
      <c r="G132" s="6" t="n">
        <v>4</v>
      </c>
      <c r="H132" s="6" t="inlineStr">
        <is>
          <t>Economics</t>
        </is>
      </c>
      <c r="I132" s="6" t="inlineStr">
        <is>
          <t>Academic</t>
        </is>
      </c>
      <c r="J132" s="6" t="n">
        <v>200</v>
      </c>
      <c r="K132" s="3" t="inlineStr">
        <is>
          <t>SYNTHETIC course (not in the NU/NYU catalog; invented for test volume)</t>
        </is>
      </c>
      <c r="L132" s="3" t="inlineStr">
        <is>
          <t>Environmental Economics. Topics include externalities, valuation methods, public goods, cost-benefit analysis and natural resources; later weeks address climate policy, carbon pricing and pollution regulation.</t>
        </is>
      </c>
      <c r="M132" s="3" t="inlineStr">
        <is>
          <t>Explain the core ideas of externalities | Apply valuation methods to solve standard problems | Analyze problems involving public goods | Use cost-benefit analysis in practical exercises | Evaluate approaches to natural resources | Communicate findings about climate policy</t>
        </is>
      </c>
      <c r="N132" s="3" t="inlineStr">
        <is>
          <t>externalities | valuation methods | public goods | cost-benefit analysis | natural resources | climate policy | carbon pricing | pollution regulation</t>
        </is>
      </c>
      <c r="O132" s="6" t="inlineStr">
        <is>
          <t>CAS EC 270</t>
        </is>
      </c>
      <c r="P132" s="6" t="n">
        <v>1</v>
      </c>
      <c r="Q132" s="6" t="inlineStr">
        <is>
          <t>Equivalent (&gt;=80%)</t>
        </is>
      </c>
    </row>
    <row r="133">
      <c r="A133" s="6" t="inlineStr">
        <is>
          <t>NYU|MATH-UA 63</t>
        </is>
      </c>
      <c r="B133" s="6" t="inlineStr">
        <is>
          <t>NYU</t>
        </is>
      </c>
      <c r="C133" s="6" t="inlineStr">
        <is>
          <t>MATH-UA 63</t>
        </is>
      </c>
      <c r="D133" s="6" t="inlineStr">
        <is>
          <t>Statistics 2</t>
        </is>
      </c>
      <c r="E133" s="6" t="n">
        <v>4</v>
      </c>
      <c r="F133" s="6" t="inlineStr">
        <is>
          <t>Semester</t>
        </is>
      </c>
      <c r="G133" s="6" t="n">
        <v>4</v>
      </c>
      <c r="H133" s="6" t="inlineStr">
        <is>
          <t>Mathematics</t>
        </is>
      </c>
      <c r="I133" s="6" t="inlineStr">
        <is>
          <t>Academic</t>
        </is>
      </c>
      <c r="J133" s="6" t="n">
        <v>100</v>
      </c>
      <c r="K133" s="3" t="inlineStr">
        <is>
          <t>SYNTHETIC course (not in the NU/NYU catalog; invented for test volume)</t>
        </is>
      </c>
      <c r="L133" s="3" t="inlineStr">
        <is>
          <t>Statistics 2. Topics include nonparametric tests, chi-square tests, real numbers, model diagnostics and multiple regression; later weeks address uniform convergence, analysis of variance and descriptive statistics.</t>
        </is>
      </c>
      <c r="M133" s="3" t="inlineStr">
        <is>
          <t>Explain the core ideas of nonparametric tests | Apply chi-square tests to solve standard problems | Analyze problems involving real numbers | Use model diagnostics in practical exercises | Evaluate approaches to multiple regression | Communicate findings about uniform convergence</t>
        </is>
      </c>
      <c r="N133" s="3" t="inlineStr">
        <is>
          <t>nonparametric tests | chi-square tests | real numbers | model diagnostics | multiple regression | uniform convergence | analysis of variance | descriptive statistics</t>
        </is>
      </c>
      <c r="O133" s="6" t="inlineStr">
        <is>
          <t>CAS MA 116</t>
        </is>
      </c>
      <c r="P133" s="6" t="n">
        <v>0.625</v>
      </c>
      <c r="Q133" s="6" t="inlineStr">
        <is>
          <t>Evaluator decides (50-79%)</t>
        </is>
      </c>
    </row>
    <row r="134">
      <c r="A134" s="6" t="inlineStr">
        <is>
          <t>NYU|CSCI-UA 363</t>
        </is>
      </c>
      <c r="B134" s="6" t="inlineStr">
        <is>
          <t>NYU</t>
        </is>
      </c>
      <c r="C134" s="6" t="inlineStr">
        <is>
          <t>CSCI-UA 363</t>
        </is>
      </c>
      <c r="D134" s="6" t="inlineStr">
        <is>
          <t>NP-completeness and Optimization</t>
        </is>
      </c>
      <c r="E134" s="6" t="n">
        <v>4</v>
      </c>
      <c r="F134" s="6" t="inlineStr">
        <is>
          <t>Semester</t>
        </is>
      </c>
      <c r="G134" s="6" t="n">
        <v>4</v>
      </c>
      <c r="H134" s="6" t="inlineStr">
        <is>
          <t>Computer Science</t>
        </is>
      </c>
      <c r="I134" s="6" t="inlineStr">
        <is>
          <t>Academic</t>
        </is>
      </c>
      <c r="J134" s="6" t="n">
        <v>300</v>
      </c>
      <c r="K134" s="3" t="inlineStr">
        <is>
          <t>SYNTHETIC course (not in the NU/NYU catalog; invented for test volume)</t>
        </is>
      </c>
      <c r="L134" s="3" t="inlineStr">
        <is>
          <t>NP-completeness and Optimization. Topics include simulation, shading and lighting, client-server model, intermediate representations and runtime environments; later weeks address lexical analysis, semantic analysis and entity-relationship design.</t>
        </is>
      </c>
      <c r="M134" s="3" t="inlineStr">
        <is>
          <t>Explain the core ideas of simulation | Apply shading and lighting to solve standard problems | Analyze problems involving client-server model | Use intermediate representations in practical exercises | Evaluate approaches to runtime environments | Communicate findings about lexical analysis</t>
        </is>
      </c>
      <c r="N134" s="3" t="inlineStr">
        <is>
          <t>simulation | shading and lighting | client-server model | intermediate representations | runtime environments | lexical analysis | semantic analysis | entity-relationship design</t>
        </is>
      </c>
      <c r="O134" s="6" t="inlineStr">
        <is>
          <t>CAS CS 395</t>
        </is>
      </c>
      <c r="P134" s="6" t="n">
        <v>0.5</v>
      </c>
      <c r="Q134" s="6" t="inlineStr">
        <is>
          <t>Evaluator decides (50-79%)</t>
        </is>
      </c>
    </row>
    <row r="135">
      <c r="A135" s="6" t="inlineStr">
        <is>
          <t>NYU|PSYCH-UA 363</t>
        </is>
      </c>
      <c r="B135" s="6" t="inlineStr">
        <is>
          <t>NYU</t>
        </is>
      </c>
      <c r="C135" s="6" t="inlineStr">
        <is>
          <t>PSYCH-UA 363</t>
        </is>
      </c>
      <c r="D135" s="6" t="inlineStr">
        <is>
          <t>Child Psychopathology</t>
        </is>
      </c>
      <c r="E135" s="6" t="n">
        <v>4</v>
      </c>
      <c r="F135" s="6" t="inlineStr">
        <is>
          <t>Semester</t>
        </is>
      </c>
      <c r="G135" s="6" t="n">
        <v>4</v>
      </c>
      <c r="H135" s="6" t="inlineStr">
        <is>
          <t>Psychology</t>
        </is>
      </c>
      <c r="I135" s="6" t="inlineStr">
        <is>
          <t>Academic</t>
        </is>
      </c>
      <c r="J135" s="6" t="n">
        <v>300</v>
      </c>
      <c r="K135" s="3" t="inlineStr">
        <is>
          <t>SYNTHETIC course (not in the NU/NYU catalog; invented for test volume)</t>
        </is>
      </c>
      <c r="L135" s="3" t="inlineStr">
        <is>
          <t>Child Psychopathology. Topics include family-based treatment, childhood depression, autism spectrum disorder, developmental psychopathology and conduct problems; later weeks address ADHD, assessment of children and childhood anxiety.</t>
        </is>
      </c>
      <c r="M135" s="3" t="inlineStr">
        <is>
          <t>Explain the core ideas of family-based treatment | Apply childhood depression to solve standard problems | Analyze problems involving autism spectrum disorder | Use developmental psychopathology in practical exercises | Evaluate approaches to conduct problems | Communicate findings about ADHD</t>
        </is>
      </c>
      <c r="N135" s="3" t="inlineStr">
        <is>
          <t>family-based treatment | childhood depression | autism spectrum disorder | developmental psychopathology | conduct problems | ADHD | assessment of children | childhood anxiety</t>
        </is>
      </c>
      <c r="O135" s="6" t="inlineStr">
        <is>
          <t>CAS PS 340</t>
        </is>
      </c>
      <c r="P135" s="6" t="n">
        <v>1</v>
      </c>
      <c r="Q135" s="6" t="inlineStr">
        <is>
          <t>Equivalent (&gt;=80%)</t>
        </is>
      </c>
    </row>
    <row r="136">
      <c r="A136" s="6" t="inlineStr">
        <is>
          <t>NYU|PSYCH-UA 163</t>
        </is>
      </c>
      <c r="B136" s="6" t="inlineStr">
        <is>
          <t>NYU</t>
        </is>
      </c>
      <c r="C136" s="6" t="inlineStr">
        <is>
          <t>PSYCH-UA 163</t>
        </is>
      </c>
      <c r="D136" s="3" t="inlineStr">
        <is>
          <t>Auditory Perception and Social Media and Youth</t>
        </is>
      </c>
      <c r="E136" s="6" t="n">
        <v>4</v>
      </c>
      <c r="F136" s="6" t="inlineStr">
        <is>
          <t>Semester</t>
        </is>
      </c>
      <c r="G136" s="6" t="n">
        <v>4</v>
      </c>
      <c r="H136" s="6" t="inlineStr">
        <is>
          <t>Psychology</t>
        </is>
      </c>
      <c r="I136" s="6" t="inlineStr">
        <is>
          <t>Academic</t>
        </is>
      </c>
      <c r="J136" s="6" t="n">
        <v>200</v>
      </c>
      <c r="K136" s="3" t="inlineStr">
        <is>
          <t>SYNTHETIC course (not in the NU/NYU catalog; invented for test volume)</t>
        </is>
      </c>
      <c r="L136" s="3" t="inlineStr">
        <is>
          <t>Auditory Perception and Social Media and Youth. Topics include family relationships, work and retirement, social media and youth, adolescent mental health and sentence processing; later weeks address psychodynamic theory, jury decision making and clinical assessment.</t>
        </is>
      </c>
      <c r="M136" s="3" t="inlineStr">
        <is>
          <t>Explain the core ideas of family relationships | Apply work and retirement to solve standard problems | Analyze problems involving social media and youth | Use adolescent mental health in practical exercises | Evaluate approaches to sentence processing | Communicate findings about psychodynamic theory</t>
        </is>
      </c>
      <c r="N136" s="3" t="inlineStr">
        <is>
          <t>family relationships | work and retirement | social media and youth | adolescent mental health | sentence processing | psychodynamic theory | jury decision making | clinical assessment</t>
        </is>
      </c>
      <c r="O136" s="6" t="inlineStr">
        <is>
          <t>CAS PS 244</t>
        </is>
      </c>
      <c r="P136" s="6" t="n">
        <v>0.375</v>
      </c>
      <c r="Q136" s="6" t="inlineStr">
        <is>
          <t>Elective (&lt;50%)</t>
        </is>
      </c>
    </row>
    <row r="137">
      <c r="A137" s="6" t="inlineStr">
        <is>
          <t>NYU|CHEM-UA 63</t>
        </is>
      </c>
      <c r="B137" s="6" t="inlineStr">
        <is>
          <t>NYU</t>
        </is>
      </c>
      <c r="C137" s="6" t="inlineStr">
        <is>
          <t>CHEM-UA 63</t>
        </is>
      </c>
      <c r="D137" s="6" t="inlineStr">
        <is>
          <t>Chemistry for Health Sciences</t>
        </is>
      </c>
      <c r="E137" s="6" t="n">
        <v>4</v>
      </c>
      <c r="F137" s="6" t="inlineStr">
        <is>
          <t>Semester</t>
        </is>
      </c>
      <c r="G137" s="6" t="n">
        <v>4</v>
      </c>
      <c r="H137" s="6" t="inlineStr">
        <is>
          <t>Biology</t>
        </is>
      </c>
      <c r="I137" s="6" t="inlineStr">
        <is>
          <t>Academic</t>
        </is>
      </c>
      <c r="J137" s="6" t="n">
        <v>100</v>
      </c>
      <c r="K137" s="3" t="inlineStr">
        <is>
          <t>SYNTHETIC course (not in the NU/NYU catalog; invented for test volume)</t>
        </is>
      </c>
      <c r="L137" s="3" t="inlineStr">
        <is>
          <t>Chemistry for Health Sciences. Topics include chemical bonding, atomic structure, biomolecules, tissues and organic functional groups; later weeks address metabolism, solutions and laboratory safety.</t>
        </is>
      </c>
      <c r="M137" s="3" t="inlineStr">
        <is>
          <t>Explain the core ideas of chemical bonding | Apply atomic structure to solve standard problems | Analyze problems involving biomolecules | Use tissues in practical exercises | Evaluate approaches to organic functional groups | Communicate findings about metabolism</t>
        </is>
      </c>
      <c r="N137" s="3" t="inlineStr">
        <is>
          <t>chemical bonding | atomic structure | biomolecules | tissues | organic functional groups | metabolism | solutions | laboratory safety</t>
        </is>
      </c>
      <c r="O137" s="6" t="inlineStr">
        <is>
          <t>CAS CH 110</t>
        </is>
      </c>
      <c r="P137" s="6" t="n">
        <v>0.875</v>
      </c>
      <c r="Q137" s="6" t="inlineStr">
        <is>
          <t>Equivalent (&gt;=80%)</t>
        </is>
      </c>
    </row>
    <row r="138">
      <c r="A138" s="6" t="inlineStr">
        <is>
          <t>NYU|CSCI-UA 366</t>
        </is>
      </c>
      <c r="B138" s="6" t="inlineStr">
        <is>
          <t>NYU</t>
        </is>
      </c>
      <c r="C138" s="6" t="inlineStr">
        <is>
          <t>CSCI-UA 366</t>
        </is>
      </c>
      <c r="D138" s="6" t="inlineStr">
        <is>
          <t>Computer Graphics</t>
        </is>
      </c>
      <c r="E138" s="6" t="n">
        <v>4</v>
      </c>
      <c r="F138" s="6" t="inlineStr">
        <is>
          <t>Semester</t>
        </is>
      </c>
      <c r="G138" s="6" t="n">
        <v>4</v>
      </c>
      <c r="H138" s="6" t="inlineStr">
        <is>
          <t>Computer Science</t>
        </is>
      </c>
      <c r="I138" s="6" t="inlineStr">
        <is>
          <t>Academic</t>
        </is>
      </c>
      <c r="J138" s="6" t="n">
        <v>300</v>
      </c>
      <c r="K138" s="3" t="inlineStr">
        <is>
          <t>SYNTHETIC course (not in the NU/NYU catalog; invented for test volume)</t>
        </is>
      </c>
      <c r="L138" s="3" t="inlineStr">
        <is>
          <t>Computer Graphics. Topics include rasterization, animation, ray tracing, shading and lighting and GPU programming; later weeks address geometric transformations, 3D modeling and texture mapping.</t>
        </is>
      </c>
      <c r="M138" s="3" t="inlineStr">
        <is>
          <t>Explain the core ideas of rasterization | Apply animation to solve standard problems | Analyze problems involving ray tracing | Use shading and lighting in practical exercises | Evaluate approaches to GPU programming | Communicate findings about geometric transformations</t>
        </is>
      </c>
      <c r="N138" s="3" t="inlineStr">
        <is>
          <t>rasterization | animation | ray tracing | shading and lighting | GPU programming | geometric transformations | 3D modeling | texture mapping</t>
        </is>
      </c>
      <c r="O138" s="6" t="inlineStr">
        <is>
          <t>CAS CS 365</t>
        </is>
      </c>
      <c r="P138" s="6" t="n">
        <v>1</v>
      </c>
      <c r="Q138" s="6" t="inlineStr">
        <is>
          <t>Equivalent (&gt;=80%)</t>
        </is>
      </c>
    </row>
    <row r="139">
      <c r="A139" s="6" t="inlineStr">
        <is>
          <t>NYU|BIOL-UA 363</t>
        </is>
      </c>
      <c r="B139" s="6" t="inlineStr">
        <is>
          <t>NYU</t>
        </is>
      </c>
      <c r="C139" s="6" t="inlineStr">
        <is>
          <t>BIOL-UA 363</t>
        </is>
      </c>
      <c r="D139" s="6" t="inlineStr">
        <is>
          <t>Neurobiology</t>
        </is>
      </c>
      <c r="E139" s="6" t="n">
        <v>4</v>
      </c>
      <c r="F139" s="6" t="inlineStr">
        <is>
          <t>Semester</t>
        </is>
      </c>
      <c r="G139" s="6" t="n">
        <v>4</v>
      </c>
      <c r="H139" s="6" t="inlineStr">
        <is>
          <t>Biology</t>
        </is>
      </c>
      <c r="I139" s="6" t="inlineStr">
        <is>
          <t>Academic</t>
        </is>
      </c>
      <c r="J139" s="6" t="n">
        <v>300</v>
      </c>
      <c r="K139" s="3" t="inlineStr">
        <is>
          <t>SYNTHETIC course (not in the NU/NYU catalog; invented for test volume)</t>
        </is>
      </c>
      <c r="L139" s="3" t="inlineStr">
        <is>
          <t>Neurobiology. Topics include motor control, neuroplasticity, neurotransmitters, learning and memory and action potentials; later weeks address neurons and synapses, sensory systems and neural development.</t>
        </is>
      </c>
      <c r="M139" s="3" t="inlineStr">
        <is>
          <t>Explain the core ideas of motor control | Apply neuroplasticity to solve standard problems | Analyze problems involving neurotransmitters | Use learning and memory in practical exercises | Evaluate approaches to action potentials | Communicate findings about neurons and synapses</t>
        </is>
      </c>
      <c r="N139" s="3" t="inlineStr">
        <is>
          <t>motor control | neuroplasticity | neurotransmitters | learning and memory | action potentials | neurons and synapses | sensory systems | neural development</t>
        </is>
      </c>
      <c r="O139" s="6" t="inlineStr">
        <is>
          <t>CAS BI 315</t>
        </is>
      </c>
      <c r="P139" s="6" t="n">
        <v>1</v>
      </c>
      <c r="Q139" s="6" t="inlineStr">
        <is>
          <t>Equivalent (&gt;=80%)</t>
        </is>
      </c>
    </row>
    <row r="140">
      <c r="A140" s="6" t="inlineStr">
        <is>
          <t>NYU|BIOL-UA 366</t>
        </is>
      </c>
      <c r="B140" s="6" t="inlineStr">
        <is>
          <t>NYU</t>
        </is>
      </c>
      <c r="C140" s="6" t="inlineStr">
        <is>
          <t>BIOL-UA 366</t>
        </is>
      </c>
      <c r="D140" s="6" t="inlineStr">
        <is>
          <t>Virology</t>
        </is>
      </c>
      <c r="E140" s="6" t="n">
        <v>4</v>
      </c>
      <c r="F140" s="6" t="inlineStr">
        <is>
          <t>Semester</t>
        </is>
      </c>
      <c r="G140" s="6" t="n">
        <v>4</v>
      </c>
      <c r="H140" s="6" t="inlineStr">
        <is>
          <t>Biology</t>
        </is>
      </c>
      <c r="I140" s="6" t="inlineStr">
        <is>
          <t>Academic</t>
        </is>
      </c>
      <c r="J140" s="6" t="n">
        <v>300</v>
      </c>
      <c r="K140" s="3" t="inlineStr">
        <is>
          <t>SYNTHETIC course (not in the NU/NYU catalog; invented for test volume)</t>
        </is>
      </c>
      <c r="L140" s="3" t="inlineStr">
        <is>
          <t>Virology. Topics include vaccines, viral replication, viral evolution, pollution and viral genetics; later weeks address natural selection, emerging viruses and host-pathogen interactions.</t>
        </is>
      </c>
      <c r="M140" s="3" t="inlineStr">
        <is>
          <t>Explain the core ideas of vaccines | Apply viral replication to solve standard problems | Analyze problems involving viral evolution | Use pollution in practical exercises | Evaluate approaches to viral genetics | Communicate findings about natural selection</t>
        </is>
      </c>
      <c r="N140" s="3" t="inlineStr">
        <is>
          <t>vaccines | viral replication | viral evolution | pollution | viral genetics | natural selection | emerging viruses | host-pathogen interactions</t>
        </is>
      </c>
      <c r="O140" s="6" t="inlineStr">
        <is>
          <t>CAS BI 380</t>
        </is>
      </c>
      <c r="P140" s="6" t="n">
        <v>0.75</v>
      </c>
      <c r="Q140" s="6" t="inlineStr">
        <is>
          <t>Evaluator decides (50-79%)</t>
        </is>
      </c>
    </row>
    <row r="141">
      <c r="A141" s="6" t="inlineStr">
        <is>
          <t>NYU|CSCI-UA 163</t>
        </is>
      </c>
      <c r="B141" s="6" t="inlineStr">
        <is>
          <t>NYU</t>
        </is>
      </c>
      <c r="C141" s="6" t="inlineStr">
        <is>
          <t>CSCI-UA 163</t>
        </is>
      </c>
      <c r="D141" s="6" t="inlineStr">
        <is>
          <t>UML Modeling and Routing</t>
        </is>
      </c>
      <c r="E141" s="6" t="n">
        <v>4</v>
      </c>
      <c r="F141" s="6" t="inlineStr">
        <is>
          <t>Semester</t>
        </is>
      </c>
      <c r="G141" s="6" t="n">
        <v>4</v>
      </c>
      <c r="H141" s="6" t="inlineStr">
        <is>
          <t>Computer Science</t>
        </is>
      </c>
      <c r="I141" s="6" t="inlineStr">
        <is>
          <t>Academic</t>
        </is>
      </c>
      <c r="J141" s="6" t="n">
        <v>200</v>
      </c>
      <c r="K141" s="3" t="inlineStr">
        <is>
          <t>SYNTHETIC course (not in the NU/NYU catalog; invented for test volume)</t>
        </is>
      </c>
      <c r="L141" s="3" t="inlineStr">
        <is>
          <t>UML Modeling and Routing. Topics include finite automata, network security, transactions, binary trees and IP addressing; later weeks address network layers, routing and error-correcting codes.</t>
        </is>
      </c>
      <c r="M141" s="3" t="inlineStr">
        <is>
          <t>Explain the core ideas of finite automata | Apply network security to solve standard problems | Analyze problems involving transactions | Use binary trees in practical exercises | Evaluate approaches to IP addressing | Communicate findings about network layers</t>
        </is>
      </c>
      <c r="N141" s="3" t="inlineStr">
        <is>
          <t>finite automata | network security | transactions | binary trees | IP addressing | network layers | routing | error-correcting codes</t>
        </is>
      </c>
      <c r="O141" s="6" t="inlineStr">
        <is>
          <t>CAS CS 225</t>
        </is>
      </c>
      <c r="P141" s="6" t="n">
        <v>0.5</v>
      </c>
      <c r="Q141" s="6" t="inlineStr">
        <is>
          <t>Evaluator decides (50-79%)</t>
        </is>
      </c>
    </row>
    <row r="142">
      <c r="A142" s="6" t="inlineStr">
        <is>
          <t>NYU|PSYCH-UA 166</t>
        </is>
      </c>
      <c r="B142" s="6" t="inlineStr">
        <is>
          <t>NYU</t>
        </is>
      </c>
      <c r="C142" s="6" t="inlineStr">
        <is>
          <t>PSYCH-UA 166</t>
        </is>
      </c>
      <c r="D142" s="6" t="inlineStr">
        <is>
          <t>Adult Development and Aging</t>
        </is>
      </c>
      <c r="E142" s="6" t="n">
        <v>4</v>
      </c>
      <c r="F142" s="6" t="inlineStr">
        <is>
          <t>Semester</t>
        </is>
      </c>
      <c r="G142" s="6" t="n">
        <v>4</v>
      </c>
      <c r="H142" s="6" t="inlineStr">
        <is>
          <t>Psychology</t>
        </is>
      </c>
      <c r="I142" s="6" t="inlineStr">
        <is>
          <t>Academic</t>
        </is>
      </c>
      <c r="J142" s="6" t="n">
        <v>200</v>
      </c>
      <c r="K142" s="3" t="inlineStr">
        <is>
          <t>SYNTHETIC course (not in the NU/NYU catalog; invented for test volume)</t>
        </is>
      </c>
      <c r="L142" s="3" t="inlineStr">
        <is>
          <t>Adult Development and Aging. Topics include memory and aging, family systems, successful aging, work and retirement and multisensory integration; later weeks address dementia, relationships in adulthood and physical aging.</t>
        </is>
      </c>
      <c r="M142" s="3" t="inlineStr">
        <is>
          <t>Explain the core ideas of memory and aging | Apply family systems to solve standard problems | Analyze problems involving successful aging | Use work and retirement in practical exercises | Evaluate approaches to multisensory integration | Communicate findings about dementia</t>
        </is>
      </c>
      <c r="N142" s="3" t="inlineStr">
        <is>
          <t>memory and aging | family systems | successful aging | work and retirement | multisensory integration | dementia | relationships in adulthood | physical aging</t>
        </is>
      </c>
      <c r="O142" s="6" t="inlineStr">
        <is>
          <t>CAS PS 245</t>
        </is>
      </c>
      <c r="P142" s="6" t="n">
        <v>0.75</v>
      </c>
      <c r="Q142" s="6" t="inlineStr">
        <is>
          <t>Evaluator decides (50-79%)</t>
        </is>
      </c>
    </row>
    <row r="143">
      <c r="A143" s="6" t="inlineStr">
        <is>
          <t>NYU|MATH-UA 369</t>
        </is>
      </c>
      <c r="B143" s="6" t="inlineStr">
        <is>
          <t>NYU</t>
        </is>
      </c>
      <c r="C143" s="6" t="inlineStr">
        <is>
          <t>MATH-UA 369</t>
        </is>
      </c>
      <c r="D143" s="6" t="inlineStr">
        <is>
          <t>Number Theory</t>
        </is>
      </c>
      <c r="E143" s="6" t="n">
        <v>4</v>
      </c>
      <c r="F143" s="6" t="inlineStr">
        <is>
          <t>Semester</t>
        </is>
      </c>
      <c r="G143" s="6" t="n">
        <v>4</v>
      </c>
      <c r="H143" s="6" t="inlineStr">
        <is>
          <t>Mathematics</t>
        </is>
      </c>
      <c r="I143" s="6" t="inlineStr">
        <is>
          <t>Academic</t>
        </is>
      </c>
      <c r="J143" s="6" t="n">
        <v>300</v>
      </c>
      <c r="K143" s="3" t="inlineStr">
        <is>
          <t>SYNTHETIC course (not in the NU/NYU catalog; invented for test volume)</t>
        </is>
      </c>
      <c r="L143" s="3" t="inlineStr">
        <is>
          <t>Number Theory. Topics include divisibility, modular arithmetic, quadratic reciprocity, congruences and arithmetic functions; later weeks address public-key cryptography, Diophantine equations and prime numbers.</t>
        </is>
      </c>
      <c r="M143" s="3" t="inlineStr">
        <is>
          <t>Explain the core ideas of divisibility | Apply modular arithmetic to solve standard problems | Analyze problems involving quadratic reciprocity | Use congruences in practical exercises | Evaluate approaches to arithmetic functions | Communicate findings about public-key cryptography</t>
        </is>
      </c>
      <c r="N143" s="3" t="inlineStr">
        <is>
          <t>divisibility | modular arithmetic | quadratic reciprocity | congruences | arithmetic functions | public-key cryptography | Diophantine equations | prime numbers</t>
        </is>
      </c>
      <c r="O143" s="6" t="inlineStr">
        <is>
          <t>CAS MA 330</t>
        </is>
      </c>
      <c r="P143" s="6" t="n">
        <v>1</v>
      </c>
      <c r="Q143" s="6" t="inlineStr">
        <is>
          <t>Equivalent (&gt;=80%)</t>
        </is>
      </c>
    </row>
    <row r="144">
      <c r="A144" s="6" t="inlineStr">
        <is>
          <t>NYU|MATH-UA 372</t>
        </is>
      </c>
      <c r="B144" s="6" t="inlineStr">
        <is>
          <t>NYU</t>
        </is>
      </c>
      <c r="C144" s="6" t="inlineStr">
        <is>
          <t>MATH-UA 372</t>
        </is>
      </c>
      <c r="D144" s="6" t="inlineStr">
        <is>
          <t>Abstract Algebra 2</t>
        </is>
      </c>
      <c r="E144" s="6" t="n">
        <v>4</v>
      </c>
      <c r="F144" s="6" t="inlineStr">
        <is>
          <t>Semester</t>
        </is>
      </c>
      <c r="G144" s="6" t="n">
        <v>4</v>
      </c>
      <c r="H144" s="6" t="inlineStr">
        <is>
          <t>Mathematics</t>
        </is>
      </c>
      <c r="I144" s="6" t="inlineStr">
        <is>
          <t>Academic</t>
        </is>
      </c>
      <c r="J144" s="6" t="n">
        <v>300</v>
      </c>
      <c r="K144" s="3" t="inlineStr">
        <is>
          <t>SYNTHETIC course (not in the NU/NYU catalog; invented for test volume)</t>
        </is>
      </c>
      <c r="L144" s="3" t="inlineStr">
        <is>
          <t>Abstract Algebra 2. Topics include ideals, groups, Galois theory, field extensions and integral domains; later weeks address groups and rings, modules and polynomial rings.</t>
        </is>
      </c>
      <c r="M144" s="3" t="inlineStr">
        <is>
          <t>Explain the core ideas of ideals | Apply groups to solve standard problems | Analyze problems involving Galois theory | Use field extensions in practical exercises | Evaluate approaches to integral domains | Communicate findings about groups and rings</t>
        </is>
      </c>
      <c r="N144" s="3" t="inlineStr">
        <is>
          <t>ideals | groups | Galois theory | field extensions | integral domains | groups and rings | modules | polynomial rings</t>
        </is>
      </c>
      <c r="O144" s="6" t="inlineStr">
        <is>
          <t>CAS MA 321</t>
        </is>
      </c>
      <c r="P144" s="6" t="n">
        <v>0.875</v>
      </c>
      <c r="Q144" s="6" t="inlineStr">
        <is>
          <t>Equivalent (&gt;=80%)</t>
        </is>
      </c>
    </row>
    <row r="145">
      <c r="A145" s="6" t="inlineStr">
        <is>
          <t>NYU|MATH-UA 375</t>
        </is>
      </c>
      <c r="B145" s="6" t="inlineStr">
        <is>
          <t>NYU</t>
        </is>
      </c>
      <c r="C145" s="6" t="inlineStr">
        <is>
          <t>MATH-UA 375</t>
        </is>
      </c>
      <c r="D145" s="6" t="inlineStr">
        <is>
          <t>Geometry</t>
        </is>
      </c>
      <c r="E145" s="6" t="n">
        <v>4</v>
      </c>
      <c r="F145" s="6" t="inlineStr">
        <is>
          <t>Semester</t>
        </is>
      </c>
      <c r="G145" s="6" t="n">
        <v>4</v>
      </c>
      <c r="H145" s="6" t="inlineStr">
        <is>
          <t>Mathematics</t>
        </is>
      </c>
      <c r="I145" s="6" t="inlineStr">
        <is>
          <t>Academic</t>
        </is>
      </c>
      <c r="J145" s="6" t="n">
        <v>300</v>
      </c>
      <c r="K145" s="3" t="inlineStr">
        <is>
          <t>SYNTHETIC course (not in the NU/NYU catalog; invented for test volume)</t>
        </is>
      </c>
      <c r="L145" s="3" t="inlineStr">
        <is>
          <t>Geometry. Topics include numerical integration, geometric transformations, graph basics, non-Euclidean geometry and geometric proofs; later weeks address Euclidean geometry, generating functions and projective geometry.</t>
        </is>
      </c>
      <c r="M145" s="3" t="inlineStr">
        <is>
          <t>Explain the core ideas of numerical integration | Apply geometric transformations to solve standard problems | Analyze problems involving graph basics | Use non-Euclidean geometry in practical exercises | Evaluate approaches to geometric proofs | Communicate findings about Euclidean geometry</t>
        </is>
      </c>
      <c r="N145" s="3" t="inlineStr">
        <is>
          <t>numerical integration | geometric transformations | graph basics | non-Euclidean geometry | geometric proofs | Euclidean geometry | generating functions | projective geometry</t>
        </is>
      </c>
      <c r="O145" s="6" t="inlineStr">
        <is>
          <t>CAS MA 335</t>
        </is>
      </c>
      <c r="P145" s="6" t="n">
        <v>0.625</v>
      </c>
      <c r="Q145" s="6" t="inlineStr">
        <is>
          <t>Evaluator decides (50-79%)</t>
        </is>
      </c>
    </row>
    <row r="146">
      <c r="A146" s="6" t="inlineStr">
        <is>
          <t>NYU|ECON-UA 366</t>
        </is>
      </c>
      <c r="B146" s="6" t="inlineStr">
        <is>
          <t>NYU</t>
        </is>
      </c>
      <c r="C146" s="6" t="inlineStr">
        <is>
          <t>ECON-UA 366</t>
        </is>
      </c>
      <c r="D146" s="6" t="inlineStr">
        <is>
          <t>Bargaining and Monopoly</t>
        </is>
      </c>
      <c r="E146" s="6" t="n">
        <v>4</v>
      </c>
      <c r="F146" s="6" t="inlineStr">
        <is>
          <t>Semester</t>
        </is>
      </c>
      <c r="G146" s="6" t="n">
        <v>4</v>
      </c>
      <c r="H146" s="6" t="inlineStr">
        <is>
          <t>Economics</t>
        </is>
      </c>
      <c r="I146" s="6" t="inlineStr">
        <is>
          <t>Academic</t>
        </is>
      </c>
      <c r="J146" s="6" t="n">
        <v>300</v>
      </c>
      <c r="K146" s="3" t="inlineStr">
        <is>
          <t>SYNTHETIC course (not in the NU/NYU catalog; invented for test volume)</t>
        </is>
      </c>
      <c r="L146" s="3" t="inlineStr">
        <is>
          <t>Bargaining and Monopoly. Topics include hypothesis testing, vertical integration, voting models, aggregate demand and supply and oligopoly; later weeks address taxation, cost-benefit analysis and entry and exit.</t>
        </is>
      </c>
      <c r="M146" s="3" t="inlineStr">
        <is>
          <t>Explain the core ideas of hypothesis testing | Apply vertical integration to solve standard problems | Analyze problems involving voting models | Use aggregate demand and supply in practical exercises | Evaluate approaches to oligopoly | Communicate findings about taxation</t>
        </is>
      </c>
      <c r="N146" s="3" t="inlineStr">
        <is>
          <t>hypothesis testing | vertical integration | voting models | aggregate demand and supply | oligopoly | taxation | cost-benefit analysis | entry and exit</t>
        </is>
      </c>
      <c r="O146" s="6" t="inlineStr">
        <is>
          <t>CAS EC 320</t>
        </is>
      </c>
      <c r="P146" s="6" t="n">
        <v>0.375</v>
      </c>
      <c r="Q146" s="6" t="inlineStr">
        <is>
          <t>Elective (&lt;50%)</t>
        </is>
      </c>
    </row>
    <row r="147">
      <c r="A147" s="6" t="inlineStr">
        <is>
          <t>NYU|MATH-UA 163</t>
        </is>
      </c>
      <c r="B147" s="6" t="inlineStr">
        <is>
          <t>NYU</t>
        </is>
      </c>
      <c r="C147" s="6" t="inlineStr">
        <is>
          <t>MATH-UA 163</t>
        </is>
      </c>
      <c r="D147" s="6" t="inlineStr">
        <is>
          <t>Discrete Mathematics</t>
        </is>
      </c>
      <c r="E147" s="6" t="n">
        <v>4</v>
      </c>
      <c r="F147" s="6" t="inlineStr">
        <is>
          <t>Semester</t>
        </is>
      </c>
      <c r="G147" s="6" t="n">
        <v>4</v>
      </c>
      <c r="H147" s="6" t="inlineStr">
        <is>
          <t>Mathematics</t>
        </is>
      </c>
      <c r="I147" s="6" t="inlineStr">
        <is>
          <t>Academic</t>
        </is>
      </c>
      <c r="J147" s="6" t="n">
        <v>200</v>
      </c>
      <c r="K147" s="3" t="inlineStr">
        <is>
          <t>SYNTHETIC course (not in the NU/NYU catalog; invented for test volume)</t>
        </is>
      </c>
      <c r="L147" s="3" t="inlineStr">
        <is>
          <t>Discrete Mathematics. Topics include graph basics, recurrence relations, propositional logic, sets and functions and mathematical induction; later weeks address proof techniques, counting principles and relations.</t>
        </is>
      </c>
      <c r="M147" s="3" t="inlineStr">
        <is>
          <t>Explain the core ideas of graph basics | Apply recurrence relations to solve standard problems | Analyze problems involving propositional logic | Use sets and functions in practical exercises | Evaluate approaches to mathematical induction | Communicate findings about proof techniques</t>
        </is>
      </c>
      <c r="N147" s="3" t="inlineStr">
        <is>
          <t>graph basics | recurrence relations | propositional logic | sets and functions | mathematical induction | proof techniques | counting principles | relations</t>
        </is>
      </c>
      <c r="O147" s="6" t="inlineStr">
        <is>
          <t>CAS MA 293</t>
        </is>
      </c>
      <c r="P147" s="6" t="n">
        <v>1</v>
      </c>
      <c r="Q147" s="6" t="inlineStr">
        <is>
          <t>Equivalent (&gt;=80%)</t>
        </is>
      </c>
    </row>
    <row r="148">
      <c r="A148" s="6" t="inlineStr">
        <is>
          <t>NYU|BIOL-UA 369</t>
        </is>
      </c>
      <c r="B148" s="6" t="inlineStr">
        <is>
          <t>NYU</t>
        </is>
      </c>
      <c r="C148" s="6" t="inlineStr">
        <is>
          <t>BIOL-UA 369</t>
        </is>
      </c>
      <c r="D148" s="6" t="inlineStr">
        <is>
          <t>Molecular Biology</t>
        </is>
      </c>
      <c r="E148" s="6" t="n">
        <v>4</v>
      </c>
      <c r="F148" s="6" t="inlineStr">
        <is>
          <t>Semester</t>
        </is>
      </c>
      <c r="G148" s="6" t="n">
        <v>4</v>
      </c>
      <c r="H148" s="6" t="inlineStr">
        <is>
          <t>Biology</t>
        </is>
      </c>
      <c r="I148" s="6" t="inlineStr">
        <is>
          <t>Academic</t>
        </is>
      </c>
      <c r="J148" s="6" t="n">
        <v>300</v>
      </c>
      <c r="K148" s="3" t="inlineStr">
        <is>
          <t>SYNTHETIC course (not in the NU/NYU catalog; invented for test volume)</t>
        </is>
      </c>
      <c r="L148" s="3" t="inlineStr">
        <is>
          <t>Molecular Biology. Topics include laboratory techniques, transcription, translation, adaptation and DNA replication; later weeks address reproductive hormones, recombinant DNA and PCR.</t>
        </is>
      </c>
      <c r="M148" s="3" t="inlineStr">
        <is>
          <t>Explain the core ideas of laboratory techniques | Apply transcription to solve standard problems | Analyze problems involving translation | Use adaptation in practical exercises | Evaluate approaches to DNA replication | Communicate findings about reproductive hormones</t>
        </is>
      </c>
      <c r="N148" s="3" t="inlineStr">
        <is>
          <t>laboratory techniques | transcription | translation | adaptation | DNA replication | reproductive hormones | recombinant DNA | PCR</t>
        </is>
      </c>
      <c r="O148" s="6" t="inlineStr">
        <is>
          <t>CAS BI 350</t>
        </is>
      </c>
      <c r="P148" s="6" t="n">
        <v>0.75</v>
      </c>
      <c r="Q148" s="6" t="inlineStr">
        <is>
          <t>Evaluator decides (50-79%)</t>
        </is>
      </c>
    </row>
    <row r="149">
      <c r="A149" s="6" t="inlineStr">
        <is>
          <t>NYU|BIOL-UA 372</t>
        </is>
      </c>
      <c r="B149" s="6" t="inlineStr">
        <is>
          <t>NYU</t>
        </is>
      </c>
      <c r="C149" s="6" t="inlineStr">
        <is>
          <t>BIOL-UA 372</t>
        </is>
      </c>
      <c r="D149" s="3" t="inlineStr">
        <is>
          <t>Antigen Presentation and Pituitary and Hypothalamus</t>
        </is>
      </c>
      <c r="E149" s="6" t="n">
        <v>4</v>
      </c>
      <c r="F149" s="6" t="inlineStr">
        <is>
          <t>Semester</t>
        </is>
      </c>
      <c r="G149" s="6" t="n">
        <v>4</v>
      </c>
      <c r="H149" s="6" t="inlineStr">
        <is>
          <t>Biology</t>
        </is>
      </c>
      <c r="I149" s="6" t="inlineStr">
        <is>
          <t>Academic</t>
        </is>
      </c>
      <c r="J149" s="6" t="n">
        <v>300</v>
      </c>
      <c r="K149" s="3" t="inlineStr">
        <is>
          <t>SYNTHETIC course (not in the NU/NYU catalog; invented for test volume)</t>
        </is>
      </c>
      <c r="L149" s="3" t="inlineStr">
        <is>
          <t>Antigen Presentation and Pituitary and Hypothalamus. Topics include amphibians, pituitary and hypothalamus, emerging viruses, periodic trends and viral evolution; later weeks address organelles, hormone signaling and field methods.</t>
        </is>
      </c>
      <c r="M149" s="3" t="inlineStr">
        <is>
          <t>Explain the core ideas of amphibians | Apply pituitary and hypothalamus to solve standard problems | Analyze problems involving emerging viruses | Use periodic trends in practical exercises | Evaluate approaches to viral evolution | Communicate findings about organelles</t>
        </is>
      </c>
      <c r="N149" s="3" t="inlineStr">
        <is>
          <t>amphibians | pituitary and hypothalamus | emerging viruses | periodic trends | viral evolution | organelles | hormone signaling | field methods</t>
        </is>
      </c>
      <c r="O149" s="6" t="inlineStr">
        <is>
          <t>CAS BI 340</t>
        </is>
      </c>
      <c r="P149" s="6" t="n">
        <v>0.25</v>
      </c>
      <c r="Q149" s="6" t="inlineStr">
        <is>
          <t>Elective (&lt;50%)</t>
        </is>
      </c>
    </row>
    <row r="150">
      <c r="A150" s="6" t="inlineStr">
        <is>
          <t>NYU|CSCI-UA 166</t>
        </is>
      </c>
      <c r="B150" s="6" t="inlineStr">
        <is>
          <t>NYU</t>
        </is>
      </c>
      <c r="C150" s="6" t="inlineStr">
        <is>
          <t>CSCI-UA 166</t>
        </is>
      </c>
      <c r="D150" s="6" t="inlineStr">
        <is>
          <t>Information Security</t>
        </is>
      </c>
      <c r="E150" s="6" t="n">
        <v>4</v>
      </c>
      <c r="F150" s="6" t="inlineStr">
        <is>
          <t>Semester</t>
        </is>
      </c>
      <c r="G150" s="6" t="n">
        <v>4</v>
      </c>
      <c r="H150" s="6" t="inlineStr">
        <is>
          <t>Computer Science</t>
        </is>
      </c>
      <c r="I150" s="6" t="inlineStr">
        <is>
          <t>Academic</t>
        </is>
      </c>
      <c r="J150" s="6" t="n">
        <v>200</v>
      </c>
      <c r="K150" s="3" t="inlineStr">
        <is>
          <t>SYNTHETIC course (not in the NU/NYU catalog; invented for test volume)</t>
        </is>
      </c>
      <c r="L150" s="3" t="inlineStr">
        <is>
          <t>Information Security. Topics include access control, privacy, variables and expressions, network attacks and authentication; later weeks address security policy, 3D modeling and cryptography basics.</t>
        </is>
      </c>
      <c r="M150" s="3" t="inlineStr">
        <is>
          <t>Explain the core ideas of access control | Apply privacy to solve standard problems | Analyze problems involving variables and expressions | Use network attacks in practical exercises | Evaluate approaches to authentication | Communicate findings about security policy</t>
        </is>
      </c>
      <c r="N150" s="3" t="inlineStr">
        <is>
          <t>access control | privacy | variables and expressions | network attacks | authentication | security policy | 3D modeling | cryptography basics</t>
        </is>
      </c>
      <c r="O150" s="6" t="inlineStr">
        <is>
          <t>CAS CS 236</t>
        </is>
      </c>
      <c r="P150" s="6" t="n">
        <v>0.75</v>
      </c>
      <c r="Q150" s="6" t="inlineStr">
        <is>
          <t>Evaluator decides (50-79%)</t>
        </is>
      </c>
    </row>
    <row r="151">
      <c r="A151" s="6" t="inlineStr">
        <is>
          <t>NYU|PSYCH-UA 169</t>
        </is>
      </c>
      <c r="B151" s="6" t="inlineStr">
        <is>
          <t>NYU</t>
        </is>
      </c>
      <c r="C151" s="6" t="inlineStr">
        <is>
          <t>PSYCH-UA 169</t>
        </is>
      </c>
      <c r="D151" s="6" t="inlineStr">
        <is>
          <t>Industrial-Organizational Psychology</t>
        </is>
      </c>
      <c r="E151" s="6" t="n">
        <v>4</v>
      </c>
      <c r="F151" s="6" t="inlineStr">
        <is>
          <t>Semester</t>
        </is>
      </c>
      <c r="G151" s="6" t="n">
        <v>4</v>
      </c>
      <c r="H151" s="6" t="inlineStr">
        <is>
          <t>Psychology</t>
        </is>
      </c>
      <c r="I151" s="6" t="inlineStr">
        <is>
          <t>Academic</t>
        </is>
      </c>
      <c r="J151" s="6" t="n">
        <v>200</v>
      </c>
      <c r="K151" s="3" t="inlineStr">
        <is>
          <t>SYNTHETIC course (not in the NU/NYU catalog; invented for test volume)</t>
        </is>
      </c>
      <c r="L151" s="3" t="inlineStr">
        <is>
          <t>Industrial-Organizational Psychology. Topics include job analysis, performance appraisal, workplace well-being, training and work motivation; later weeks address organizational culture, personnel selection and leadership.</t>
        </is>
      </c>
      <c r="M151" s="3" t="inlineStr">
        <is>
          <t>Explain the core ideas of job analysis | Apply performance appraisal to solve standard problems | Analyze problems involving workplace well-being | Use training in practical exercises | Evaluate approaches to work motivation | Communicate findings about organizational culture</t>
        </is>
      </c>
      <c r="N151" s="3" t="inlineStr">
        <is>
          <t>job analysis | performance appraisal | workplace well-being | training | work motivation | organizational culture | personnel selection | leadership</t>
        </is>
      </c>
      <c r="O151" s="6" t="inlineStr">
        <is>
          <t>CAS PS 270</t>
        </is>
      </c>
      <c r="P151" s="6" t="n">
        <v>1</v>
      </c>
      <c r="Q151" s="6" t="inlineStr">
        <is>
          <t>Equivalent (&gt;=80%)</t>
        </is>
      </c>
    </row>
    <row r="152">
      <c r="A152" s="6" t="inlineStr">
        <is>
          <t>NYU|MATH-UA 378</t>
        </is>
      </c>
      <c r="B152" s="6" t="inlineStr">
        <is>
          <t>NYU</t>
        </is>
      </c>
      <c r="C152" s="6" t="inlineStr">
        <is>
          <t>MATH-UA 378</t>
        </is>
      </c>
      <c r="D152" s="6" t="inlineStr">
        <is>
          <t>Lebesgue Measure and Compactness</t>
        </is>
      </c>
      <c r="E152" s="6" t="n">
        <v>4</v>
      </c>
      <c r="F152" s="6" t="inlineStr">
        <is>
          <t>Semester</t>
        </is>
      </c>
      <c r="G152" s="6" t="n">
        <v>4</v>
      </c>
      <c r="H152" s="6" t="inlineStr">
        <is>
          <t>Mathematics</t>
        </is>
      </c>
      <c r="I152" s="6" t="inlineStr">
        <is>
          <t>Academic</t>
        </is>
      </c>
      <c r="J152" s="6" t="n">
        <v>300</v>
      </c>
      <c r="K152" s="3" t="inlineStr">
        <is>
          <t>SYNTHETIC course (not in the NU/NYU catalog; invented for test volume)</t>
        </is>
      </c>
      <c r="L152" s="3" t="inlineStr">
        <is>
          <t>Lebesgue Measure and Compactness. Topics include determinants, quotient spaces, continuity, axiomatic systems and non-Euclidean geometry; later weeks address mathematical modeling, Lebesgue measure and connectedness.</t>
        </is>
      </c>
      <c r="M152" s="3" t="inlineStr">
        <is>
          <t>Explain the core ideas of determinants | Apply quotient spaces to solve standard problems | Analyze problems involving continuity | Use axiomatic systems in practical exercises | Evaluate approaches to non-Euclidean geometry | Communicate findings about mathematical modeling</t>
        </is>
      </c>
      <c r="N152" s="3" t="inlineStr">
        <is>
          <t>determinants | quotient spaces | continuity | axiomatic systems | non-Euclidean geometry | mathematical modeling | Lebesgue measure | connectedness</t>
        </is>
      </c>
      <c r="O152" s="6" t="inlineStr">
        <is>
          <t>CAS MA 340</t>
        </is>
      </c>
      <c r="P152" s="6" t="n">
        <v>0.375</v>
      </c>
      <c r="Q152" s="6" t="inlineStr">
        <is>
          <t>Elective (&lt;50%)</t>
        </is>
      </c>
    </row>
    <row r="153">
      <c r="A153" s="6" t="inlineStr">
        <is>
          <t>NYU|BIOL-UA 375</t>
        </is>
      </c>
      <c r="B153" s="6" t="inlineStr">
        <is>
          <t>NYU</t>
        </is>
      </c>
      <c r="C153" s="6" t="inlineStr">
        <is>
          <t>BIOL-UA 375</t>
        </is>
      </c>
      <c r="D153" s="6" t="inlineStr">
        <is>
          <t>Vertebrate Zoology</t>
        </is>
      </c>
      <c r="E153" s="6" t="n">
        <v>4</v>
      </c>
      <c r="F153" s="6" t="inlineStr">
        <is>
          <t>Semester</t>
        </is>
      </c>
      <c r="G153" s="6" t="n">
        <v>4</v>
      </c>
      <c r="H153" s="6" t="inlineStr">
        <is>
          <t>Biology</t>
        </is>
      </c>
      <c r="I153" s="6" t="inlineStr">
        <is>
          <t>Academic</t>
        </is>
      </c>
      <c r="J153" s="6" t="n">
        <v>300</v>
      </c>
      <c r="K153" s="3" t="inlineStr">
        <is>
          <t>SYNTHETIC course (not in the NU/NYU catalog; invented for test volume)</t>
        </is>
      </c>
      <c r="L153" s="3" t="inlineStr">
        <is>
          <t>Vertebrate Zoology. Topics include vertebrate evolution, amphibians, health and society, fishes and organic functional groups; later weeks address comparative anatomy, phylogenetics and nomenclature.</t>
        </is>
      </c>
      <c r="M153" s="3" t="inlineStr">
        <is>
          <t>Explain the core ideas of vertebrate evolution | Apply amphibians to solve standard problems | Analyze problems involving health and society | Use fishes in practical exercises | Evaluate approaches to organic functional groups | Communicate findings about comparative anatomy</t>
        </is>
      </c>
      <c r="N153" s="3" t="inlineStr">
        <is>
          <t>vertebrate evolution | amphibians | health and society | fishes | organic functional groups | comparative anatomy | phylogenetics | nomenclature</t>
        </is>
      </c>
      <c r="O153" s="6" t="inlineStr">
        <is>
          <t>CAS BI 302</t>
        </is>
      </c>
      <c r="P153" s="6" t="n">
        <v>0.625</v>
      </c>
      <c r="Q153" s="6" t="inlineStr">
        <is>
          <t>Evaluator decides (50-79%)</t>
        </is>
      </c>
    </row>
    <row r="154">
      <c r="A154" s="6" t="inlineStr">
        <is>
          <t>NYU|CSCI-UA 169</t>
        </is>
      </c>
      <c r="B154" s="6" t="inlineStr">
        <is>
          <t>NYU</t>
        </is>
      </c>
      <c r="C154" s="6" t="inlineStr">
        <is>
          <t>CSCI-UA 169</t>
        </is>
      </c>
      <c r="D154" s="6" t="inlineStr">
        <is>
          <t>Object-Oriented Software Design</t>
        </is>
      </c>
      <c r="E154" s="6" t="n">
        <v>4</v>
      </c>
      <c r="F154" s="6" t="inlineStr">
        <is>
          <t>Semester</t>
        </is>
      </c>
      <c r="G154" s="6" t="n">
        <v>4</v>
      </c>
      <c r="H154" s="6" t="inlineStr">
        <is>
          <t>Computer Science</t>
        </is>
      </c>
      <c r="I154" s="6" t="inlineStr">
        <is>
          <t>Academic</t>
        </is>
      </c>
      <c r="J154" s="6" t="n">
        <v>200</v>
      </c>
      <c r="K154" s="3" t="inlineStr">
        <is>
          <t>SYNTHETIC course (not in the NU/NYU catalog; invented for test volume)</t>
        </is>
      </c>
      <c r="L154" s="3" t="inlineStr">
        <is>
          <t>Object-Oriented Software Design. Topics include unit testing, classes and interfaces, design patterns, version control and refactoring; later weeks address inheritance, functions and UML modeling.</t>
        </is>
      </c>
      <c r="M154" s="3" t="inlineStr">
        <is>
          <t>Explain the core ideas of unit testing | Apply classes and interfaces to solve standard problems | Analyze problems involving design patterns | Use version control in practical exercises | Evaluate approaches to refactoring | Communicate findings about inheritance</t>
        </is>
      </c>
      <c r="N154" s="3" t="inlineStr">
        <is>
          <t>unit testing | classes and interfaces | design patterns | version control | refactoring | inheritance | functions | UML modeling</t>
        </is>
      </c>
      <c r="O154" s="6" t="inlineStr">
        <is>
          <t>CAS CS 211</t>
        </is>
      </c>
      <c r="P154" s="6" t="n">
        <v>0.875</v>
      </c>
      <c r="Q154" s="6" t="inlineStr">
        <is>
          <t>Equivalent (&gt;=80%)</t>
        </is>
      </c>
    </row>
    <row r="155">
      <c r="A155" s="6" t="inlineStr">
        <is>
          <t>NYU|CHEM-UA 163</t>
        </is>
      </c>
      <c r="B155" s="6" t="inlineStr">
        <is>
          <t>NYU</t>
        </is>
      </c>
      <c r="C155" s="6" t="inlineStr">
        <is>
          <t>CHEM-UA 163</t>
        </is>
      </c>
      <c r="D155" s="6" t="inlineStr">
        <is>
          <t>Analytical Chemistry</t>
        </is>
      </c>
      <c r="E155" s="6" t="n">
        <v>4</v>
      </c>
      <c r="F155" s="6" t="inlineStr">
        <is>
          <t>Semester</t>
        </is>
      </c>
      <c r="G155" s="6" t="n">
        <v>4</v>
      </c>
      <c r="H155" s="6" t="inlineStr">
        <is>
          <t>Biology</t>
        </is>
      </c>
      <c r="I155" s="6" t="inlineStr">
        <is>
          <t>Academic</t>
        </is>
      </c>
      <c r="J155" s="6" t="n">
        <v>200</v>
      </c>
      <c r="K155" s="3" t="inlineStr">
        <is>
          <t>SYNTHETIC course (not in the NU/NYU catalog; invented for test volume)</t>
        </is>
      </c>
      <c r="L155" s="3" t="inlineStr">
        <is>
          <t>Analytical Chemistry. Topics include foraging, statistics for chemistry, quality control, metabolic regulation and electrochemistry; later weeks address titrations, spectroscopy and laboratory techniques.</t>
        </is>
      </c>
      <c r="M155" s="3" t="inlineStr">
        <is>
          <t>Explain the core ideas of foraging | Apply statistics for chemistry to solve standard problems | Analyze problems involving quality control | Use metabolic regulation in practical exercises | Evaluate approaches to electrochemistry | Communicate findings about titrations</t>
        </is>
      </c>
      <c r="N155" s="3" t="inlineStr">
        <is>
          <t>foraging | statistics for chemistry | quality control | metabolic regulation | electrochemistry | titrations | spectroscopy | laboratory techniques</t>
        </is>
      </c>
      <c r="O155" s="6" t="inlineStr">
        <is>
          <t>CAS CH 211</t>
        </is>
      </c>
      <c r="P155" s="6" t="n">
        <v>0.75</v>
      </c>
      <c r="Q155" s="6" t="inlineStr">
        <is>
          <t>Evaluator decides (50-79%)</t>
        </is>
      </c>
    </row>
    <row r="156">
      <c r="A156" s="6" t="inlineStr">
        <is>
          <t>NYU|ECON-UA 369</t>
        </is>
      </c>
      <c r="B156" s="6" t="inlineStr">
        <is>
          <t>NYU</t>
        </is>
      </c>
      <c r="C156" s="6" t="inlineStr">
        <is>
          <t>ECON-UA 369</t>
        </is>
      </c>
      <c r="D156" s="6" t="inlineStr">
        <is>
          <t>Health Economics</t>
        </is>
      </c>
      <c r="E156" s="6" t="n">
        <v>4</v>
      </c>
      <c r="F156" s="6" t="inlineStr">
        <is>
          <t>Semester</t>
        </is>
      </c>
      <c r="G156" s="6" t="n">
        <v>4</v>
      </c>
      <c r="H156" s="6" t="inlineStr">
        <is>
          <t>Economics</t>
        </is>
      </c>
      <c r="I156" s="6" t="inlineStr">
        <is>
          <t>Academic</t>
        </is>
      </c>
      <c r="J156" s="6" t="n">
        <v>300</v>
      </c>
      <c r="K156" s="3" t="inlineStr">
        <is>
          <t>SYNTHETIC course (not in the NU/NYU catalog; invented for test volume)</t>
        </is>
      </c>
      <c r="L156" s="3" t="inlineStr">
        <is>
          <t>Health Economics. Topics include valuation methods, pharmaceutical markets, industrialization, health insurance and demand for health care; later weeks address public health, adverse selection and climate policy.</t>
        </is>
      </c>
      <c r="M156" s="3" t="inlineStr">
        <is>
          <t>Explain the core ideas of valuation methods | Apply pharmaceutical markets to solve standard problems | Analyze problems involving industrialization | Use health insurance in practical exercises | Evaluate approaches to demand for health care | Communicate findings about public health</t>
        </is>
      </c>
      <c r="N156" s="3" t="inlineStr">
        <is>
          <t>valuation methods | pharmaceutical markets | industrialization | health insurance | demand for health care | public health | adverse selection | climate policy</t>
        </is>
      </c>
      <c r="O156" s="6" t="inlineStr">
        <is>
          <t>CAS EC 305</t>
        </is>
      </c>
      <c r="P156" s="6" t="n">
        <v>0.625</v>
      </c>
      <c r="Q156" s="6" t="inlineStr">
        <is>
          <t>Evaluator decides (50-79%)</t>
        </is>
      </c>
    </row>
    <row r="157">
      <c r="A157" s="6" t="inlineStr">
        <is>
          <t>NYU|ECON-UA 63</t>
        </is>
      </c>
      <c r="B157" s="6" t="inlineStr">
        <is>
          <t>NYU</t>
        </is>
      </c>
      <c r="C157" s="6" t="inlineStr">
        <is>
          <t>ECON-UA 63</t>
        </is>
      </c>
      <c r="D157" s="6" t="inlineStr">
        <is>
          <t>Economics of Everyday Life</t>
        </is>
      </c>
      <c r="E157" s="6" t="n">
        <v>4</v>
      </c>
      <c r="F157" s="6" t="inlineStr">
        <is>
          <t>Semester</t>
        </is>
      </c>
      <c r="G157" s="6" t="n">
        <v>4</v>
      </c>
      <c r="H157" s="6" t="inlineStr">
        <is>
          <t>Economics</t>
        </is>
      </c>
      <c r="I157" s="6" t="inlineStr">
        <is>
          <t>Academic</t>
        </is>
      </c>
      <c r="J157" s="6" t="n">
        <v>100</v>
      </c>
      <c r="K157" s="3" t="inlineStr">
        <is>
          <t>SYNTHETIC course (not in the NU/NYU catalog; invented for test volume)</t>
        </is>
      </c>
      <c r="L157" s="3" t="inlineStr">
        <is>
          <t>Economics of Everyday Life. Topics include housing markets, incentives, labor markets, personal finance and public policy; later weeks address behavioral biases, opportunity cost and health care choices.</t>
        </is>
      </c>
      <c r="M157" s="3" t="inlineStr">
        <is>
          <t>Explain the core ideas of housing markets | Apply incentives to solve standard problems | Analyze problems involving labor markets | Use personal finance in practical exercises | Evaluate approaches to public policy | Communicate findings about behavioral biases</t>
        </is>
      </c>
      <c r="N157" s="3" t="inlineStr">
        <is>
          <t>housing markets | incentives | labor markets | personal finance | public policy | behavioral biases | opportunity cost | health care choices</t>
        </is>
      </c>
      <c r="O157" s="6" t="inlineStr">
        <is>
          <t>CAS EC 110</t>
        </is>
      </c>
      <c r="P157" s="6" t="n">
        <v>1</v>
      </c>
      <c r="Q157" s="6" t="inlineStr">
        <is>
          <t>Equivalent (&gt;=80%)</t>
        </is>
      </c>
    </row>
    <row r="158">
      <c r="A158" s="6" t="inlineStr">
        <is>
          <t>NYU|ECON-UA 372</t>
        </is>
      </c>
      <c r="B158" s="6" t="inlineStr">
        <is>
          <t>NYU</t>
        </is>
      </c>
      <c r="C158" s="6" t="inlineStr">
        <is>
          <t>ECON-UA 372</t>
        </is>
      </c>
      <c r="D158" s="6" t="inlineStr">
        <is>
          <t>Antitrust and Regulation</t>
        </is>
      </c>
      <c r="E158" s="6" t="n">
        <v>4</v>
      </c>
      <c r="F158" s="6" t="inlineStr">
        <is>
          <t>Semester</t>
        </is>
      </c>
      <c r="G158" s="6" t="n">
        <v>4</v>
      </c>
      <c r="H158" s="6" t="inlineStr">
        <is>
          <t>Economics</t>
        </is>
      </c>
      <c r="I158" s="6" t="inlineStr">
        <is>
          <t>Academic</t>
        </is>
      </c>
      <c r="J158" s="6" t="n">
        <v>300</v>
      </c>
      <c r="K158" s="3" t="inlineStr">
        <is>
          <t>SYNTHETIC course (not in the NU/NYU catalog; invented for test volume)</t>
        </is>
      </c>
      <c r="L158" s="3" t="inlineStr">
        <is>
          <t>Antitrust and Regulation. Topics include natural monopoly, regulatory capture, network industries, competition policy and data interpretation; later weeks address antitrust law, monopoly and mergers.</t>
        </is>
      </c>
      <c r="M158" s="3" t="inlineStr">
        <is>
          <t>Explain the core ideas of natural monopoly | Apply regulatory capture to solve standard problems | Analyze problems involving network industries | Use competition policy in practical exercises | Evaluate approaches to data interpretation | Communicate findings about antitrust law</t>
        </is>
      </c>
      <c r="N158" s="3" t="inlineStr">
        <is>
          <t>natural monopoly | regulatory capture | network industries | competition policy | data interpretation | antitrust law | monopoly | mergers</t>
        </is>
      </c>
      <c r="O158" s="6" t="inlineStr">
        <is>
          <t>CAS EC 360</t>
        </is>
      </c>
      <c r="P158" s="6" t="n">
        <v>0.875</v>
      </c>
      <c r="Q158" s="6" t="inlineStr">
        <is>
          <t>Equivalent (&gt;=80%)</t>
        </is>
      </c>
    </row>
    <row r="159">
      <c r="A159" s="6" t="inlineStr">
        <is>
          <t>NYU|MATH-UA 381</t>
        </is>
      </c>
      <c r="B159" s="6" t="inlineStr">
        <is>
          <t>NYU</t>
        </is>
      </c>
      <c r="C159" s="6" t="inlineStr">
        <is>
          <t>MATH-UA 381</t>
        </is>
      </c>
      <c r="D159" s="6" t="inlineStr">
        <is>
          <t>Real Analysis 2</t>
        </is>
      </c>
      <c r="E159" s="6" t="n">
        <v>4</v>
      </c>
      <c r="F159" s="6" t="inlineStr">
        <is>
          <t>Semester</t>
        </is>
      </c>
      <c r="G159" s="6" t="n">
        <v>4</v>
      </c>
      <c r="H159" s="6" t="inlineStr">
        <is>
          <t>Mathematics</t>
        </is>
      </c>
      <c r="I159" s="6" t="inlineStr">
        <is>
          <t>Academic</t>
        </is>
      </c>
      <c r="J159" s="6" t="n">
        <v>300</v>
      </c>
      <c r="K159" s="3" t="inlineStr">
        <is>
          <t>SYNTHETIC course (not in the NU/NYU catalog; invented for test volume)</t>
        </is>
      </c>
      <c r="L159" s="3" t="inlineStr">
        <is>
          <t>Real Analysis 2. Topics include function spaces, metric spaces, Fourier series, relations and compactness; later weeks address power series, multivariable analysis and line integrals.</t>
        </is>
      </c>
      <c r="M159" s="3" t="inlineStr">
        <is>
          <t>Explain the core ideas of function spaces | Apply metric spaces to solve standard problems | Analyze problems involving Fourier series | Use relations in practical exercises | Evaluate approaches to compactness | Communicate findings about power series</t>
        </is>
      </c>
      <c r="N159" s="3" t="inlineStr">
        <is>
          <t>function spaces | metric spaces | Fourier series | relations | compactness | power series | multivariable analysis | line integrals</t>
        </is>
      </c>
      <c r="O159" s="6" t="inlineStr">
        <is>
          <t>CAS MA 312</t>
        </is>
      </c>
      <c r="P159" s="6" t="n">
        <v>0.75</v>
      </c>
      <c r="Q159" s="6" t="inlineStr">
        <is>
          <t>Evaluator decides (50-79%)</t>
        </is>
      </c>
    </row>
    <row r="160">
      <c r="A160" s="6" t="inlineStr">
        <is>
          <t>NYU|BIOL-UA 163</t>
        </is>
      </c>
      <c r="B160" s="6" t="inlineStr">
        <is>
          <t>NYU</t>
        </is>
      </c>
      <c r="C160" s="6" t="inlineStr">
        <is>
          <t>BIOL-UA 163</t>
        </is>
      </c>
      <c r="D160" s="3" t="inlineStr">
        <is>
          <t>Alcohols and Ethers and Evolutionary Developmental Biology</t>
        </is>
      </c>
      <c r="E160" s="6" t="n">
        <v>4</v>
      </c>
      <c r="F160" s="6" t="inlineStr">
        <is>
          <t>Semester</t>
        </is>
      </c>
      <c r="G160" s="6" t="n">
        <v>4</v>
      </c>
      <c r="H160" s="6" t="inlineStr">
        <is>
          <t>Biology</t>
        </is>
      </c>
      <c r="I160" s="6" t="inlineStr">
        <is>
          <t>Academic</t>
        </is>
      </c>
      <c r="J160" s="6" t="n">
        <v>200</v>
      </c>
      <c r="K160" s="3" t="inlineStr">
        <is>
          <t>SYNTHETIC course (not in the NU/NYU catalog; invented for test volume)</t>
        </is>
      </c>
      <c r="L160" s="3" t="inlineStr">
        <is>
          <t>Alcohols and Ethers and Evolutionary Developmental Biology. Topics include population ecology, viruses, mutation, adaptation and human evolution; later weeks address solutions, cell differentiation and translation.</t>
        </is>
      </c>
      <c r="M160" s="3" t="inlineStr">
        <is>
          <t>Explain the core ideas of population ecology | Apply viruses to solve standard problems | Analyze problems involving mutation | Use adaptation in practical exercises | Evaluate approaches to human evolution | Communicate findings about solutions</t>
        </is>
      </c>
      <c r="N160" s="3" t="inlineStr">
        <is>
          <t>population ecology | viruses | mutation | adaptation | human evolution | solutions | cell differentiation | translation</t>
        </is>
      </c>
      <c r="O160" s="6" t="inlineStr">
        <is>
          <t>CAS BI 230</t>
        </is>
      </c>
      <c r="P160" s="6" t="n">
        <v>0.25</v>
      </c>
      <c r="Q160" s="6" t="inlineStr">
        <is>
          <t>Elective (&lt;50%)</t>
        </is>
      </c>
    </row>
    <row r="161">
      <c r="A161" s="6" t="inlineStr">
        <is>
          <t>NYU|BIOL-UA 378</t>
        </is>
      </c>
      <c r="B161" s="6" t="inlineStr">
        <is>
          <t>NYU</t>
        </is>
      </c>
      <c r="C161" s="6" t="inlineStr">
        <is>
          <t>BIOL-UA 378</t>
        </is>
      </c>
      <c r="D161" s="6" t="inlineStr">
        <is>
          <t>Plant Biology</t>
        </is>
      </c>
      <c r="E161" s="6" t="n">
        <v>4</v>
      </c>
      <c r="F161" s="6" t="inlineStr">
        <is>
          <t>Semester</t>
        </is>
      </c>
      <c r="G161" s="6" t="n">
        <v>4</v>
      </c>
      <c r="H161" s="6" t="inlineStr">
        <is>
          <t>Biology</t>
        </is>
      </c>
      <c r="I161" s="6" t="inlineStr">
        <is>
          <t>Academic</t>
        </is>
      </c>
      <c r="J161" s="6" t="n">
        <v>300</v>
      </c>
      <c r="K161" s="3" t="inlineStr">
        <is>
          <t>SYNTHETIC course (not in the NU/NYU catalog; invented for test volume)</t>
        </is>
      </c>
      <c r="L161" s="3" t="inlineStr">
        <is>
          <t>Plant Biology. Topics include plant genetics, plant ecology, laboratory techniques, plant hormones and plant structure; later weeks address plant diversity, photosynthesis and plant reproduction.</t>
        </is>
      </c>
      <c r="M161" s="3" t="inlineStr">
        <is>
          <t>Explain the core ideas of plant genetics | Apply plant ecology to solve standard problems | Analyze problems involving laboratory techniques | Use plant hormones in practical exercises | Evaluate approaches to plant structure | Communicate findings about plant diversity</t>
        </is>
      </c>
      <c r="N161" s="3" t="inlineStr">
        <is>
          <t>plant genetics | plant ecology | laboratory techniques | plant hormones | plant structure | plant diversity | photosynthesis | plant reproduction</t>
        </is>
      </c>
      <c r="O161" s="6" t="inlineStr">
        <is>
          <t>CAS BI 303</t>
        </is>
      </c>
      <c r="P161" s="6" t="n">
        <v>1</v>
      </c>
      <c r="Q161" s="6" t="inlineStr">
        <is>
          <t>Equivalent (&gt;=80%)</t>
        </is>
      </c>
    </row>
    <row r="162">
      <c r="A162" s="6" t="inlineStr">
        <is>
          <t>NYU|BIOL-UA 166</t>
        </is>
      </c>
      <c r="B162" s="6" t="inlineStr">
        <is>
          <t>NYU</t>
        </is>
      </c>
      <c r="C162" s="6" t="inlineStr">
        <is>
          <t>BIOL-UA 166</t>
        </is>
      </c>
      <c r="D162" s="6" t="inlineStr">
        <is>
          <t>Ecology</t>
        </is>
      </c>
      <c r="E162" s="6" t="n">
        <v>4</v>
      </c>
      <c r="F162" s="6" t="inlineStr">
        <is>
          <t>Semester</t>
        </is>
      </c>
      <c r="G162" s="6" t="n">
        <v>4</v>
      </c>
      <c r="H162" s="6" t="inlineStr">
        <is>
          <t>Biology</t>
        </is>
      </c>
      <c r="I162" s="6" t="inlineStr">
        <is>
          <t>Academic</t>
        </is>
      </c>
      <c r="J162" s="6" t="n">
        <v>200</v>
      </c>
      <c r="K162" s="3" t="inlineStr">
        <is>
          <t>SYNTHETIC course (not in the NU/NYU catalog; invented for test volume)</t>
        </is>
      </c>
      <c r="L162" s="3" t="inlineStr">
        <is>
          <t>Ecology. Topics include species interactions, muscular system, field methods, community ecology and biodiversity; later weeks address ecosystems, population ecology and conservation.</t>
        </is>
      </c>
      <c r="M162" s="3" t="inlineStr">
        <is>
          <t>Explain the core ideas of species interactions | Apply muscular system to solve standard problems | Analyze problems involving field methods | Use community ecology in practical exercises | Evaluate approaches to biodiversity | Communicate findings about ecosystems</t>
        </is>
      </c>
      <c r="N162" s="3" t="inlineStr">
        <is>
          <t>species interactions | muscular system | field methods | community ecology | biodiversity | ecosystems | population ecology | conservation</t>
        </is>
      </c>
      <c r="O162" s="6" t="inlineStr">
        <is>
          <t>CAS BI 225</t>
        </is>
      </c>
      <c r="P162" s="6" t="n">
        <v>0.875</v>
      </c>
      <c r="Q162" s="6" t="inlineStr">
        <is>
          <t>Equivalent (&gt;=80%)</t>
        </is>
      </c>
    </row>
    <row r="163">
      <c r="A163" s="6" t="inlineStr">
        <is>
          <t>NYU|CHEM-UA 363</t>
        </is>
      </c>
      <c r="B163" s="6" t="inlineStr">
        <is>
          <t>NYU</t>
        </is>
      </c>
      <c r="C163" s="6" t="inlineStr">
        <is>
          <t>CHEM-UA 363</t>
        </is>
      </c>
      <c r="D163" s="6" t="inlineStr">
        <is>
          <t>Physical Chemistry for Life Sciences</t>
        </is>
      </c>
      <c r="E163" s="6" t="n">
        <v>4</v>
      </c>
      <c r="F163" s="6" t="inlineStr">
        <is>
          <t>Semester</t>
        </is>
      </c>
      <c r="G163" s="6" t="n">
        <v>4</v>
      </c>
      <c r="H163" s="6" t="inlineStr">
        <is>
          <t>Biology</t>
        </is>
      </c>
      <c r="I163" s="6" t="inlineStr">
        <is>
          <t>Academic</t>
        </is>
      </c>
      <c r="J163" s="6" t="n">
        <v>300</v>
      </c>
      <c r="K163" s="3" t="inlineStr">
        <is>
          <t>SYNTHETIC course (not in the NU/NYU catalog; invented for test volume)</t>
        </is>
      </c>
      <c r="L163" s="3" t="inlineStr">
        <is>
          <t>Physical Chemistry for Life Sciences. Topics include quantum chemistry basics, biomolecular structure, spectroscopy, buffers and birds; later weeks address mathematical modeling, plankton and thermodynamics.</t>
        </is>
      </c>
      <c r="M163" s="3" t="inlineStr">
        <is>
          <t>Explain the core ideas of quantum chemistry basics | Apply biomolecular structure to solve standard problems | Analyze problems involving spectroscopy | Use buffers in practical exercises | Evaluate approaches to birds | Communicate findings about mathematical modeling</t>
        </is>
      </c>
      <c r="N163" s="3" t="inlineStr">
        <is>
          <t>quantum chemistry basics | biomolecular structure | spectroscopy | buffers | birds | mathematical modeling | plankton | thermodynamics</t>
        </is>
      </c>
      <c r="O163" s="6" t="inlineStr">
        <is>
          <t>CAS CH 301</t>
        </is>
      </c>
      <c r="P163" s="6" t="n">
        <v>0.625</v>
      </c>
      <c r="Q163" s="6" t="inlineStr">
        <is>
          <t>Evaluator decides (50-79%)</t>
        </is>
      </c>
    </row>
    <row r="164">
      <c r="A164" s="6" t="inlineStr">
        <is>
          <t>NYU|ECON-UA 175</t>
        </is>
      </c>
      <c r="B164" s="6" t="inlineStr">
        <is>
          <t>NYU</t>
        </is>
      </c>
      <c r="C164" s="6" t="inlineStr">
        <is>
          <t>ECON-UA 175</t>
        </is>
      </c>
      <c r="D164" s="6" t="inlineStr">
        <is>
          <t>Game Theory</t>
        </is>
      </c>
      <c r="E164" s="6" t="n">
        <v>4</v>
      </c>
      <c r="F164" s="6" t="inlineStr">
        <is>
          <t>Semester</t>
        </is>
      </c>
      <c r="G164" s="6" t="n">
        <v>4</v>
      </c>
      <c r="H164" s="6" t="inlineStr">
        <is>
          <t>Economics</t>
        </is>
      </c>
      <c r="I164" s="6" t="inlineStr">
        <is>
          <t>Academic</t>
        </is>
      </c>
      <c r="J164" s="6" t="n">
        <v>200</v>
      </c>
      <c r="K164" s="3" t="inlineStr">
        <is>
          <t>SYNTHETIC course (not in the NU/NYU catalog; invented for test volume)</t>
        </is>
      </c>
      <c r="L164" s="3" t="inlineStr">
        <is>
          <t>Game Theory. Topics include auctions, competition policy, sequential games, bargaining and long-run growth models; later weeks address strategic games, mixed strategies and mechanism design.</t>
        </is>
      </c>
      <c r="M164" s="3" t="inlineStr">
        <is>
          <t>Explain the core ideas of auctions | Apply competition policy to solve standard problems | Analyze problems involving sequential games | Use bargaining in practical exercises | Evaluate approaches to long-run growth models | Communicate findings about strategic games</t>
        </is>
      </c>
      <c r="N164" s="3" t="inlineStr">
        <is>
          <t>auctions | competition policy | sequential games | bargaining | long-run growth models | strategic games | mixed strategies | mechanism design</t>
        </is>
      </c>
      <c r="O164" s="6" t="inlineStr">
        <is>
          <t>CAS EC 280</t>
        </is>
      </c>
      <c r="P164" s="6" t="n">
        <v>0.75</v>
      </c>
      <c r="Q164" s="6" t="inlineStr">
        <is>
          <t>Evaluator decides (50-79%)</t>
        </is>
      </c>
    </row>
    <row r="165">
      <c r="A165" s="6" t="inlineStr">
        <is>
          <t>NYU|MATH-UA 384</t>
        </is>
      </c>
      <c r="B165" s="6" t="inlineStr">
        <is>
          <t>NYU</t>
        </is>
      </c>
      <c r="C165" s="6" t="inlineStr">
        <is>
          <t>MATH-UA 384</t>
        </is>
      </c>
      <c r="D165" s="6" t="inlineStr">
        <is>
          <t>Combinatorics</t>
        </is>
      </c>
      <c r="E165" s="6" t="n">
        <v>4</v>
      </c>
      <c r="F165" s="6" t="inlineStr">
        <is>
          <t>Semester</t>
        </is>
      </c>
      <c r="G165" s="6" t="n">
        <v>4</v>
      </c>
      <c r="H165" s="6" t="inlineStr">
        <is>
          <t>Mathematics</t>
        </is>
      </c>
      <c r="I165" s="6" t="inlineStr">
        <is>
          <t>Academic</t>
        </is>
      </c>
      <c r="J165" s="6" t="n">
        <v>300</v>
      </c>
      <c r="K165" s="3" t="inlineStr">
        <is>
          <t>SYNTHETIC course (not in the NU/NYU catalog; invented for test volume)</t>
        </is>
      </c>
      <c r="L165" s="3" t="inlineStr">
        <is>
          <t>Combinatorics. Topics include counting principles, combinatorial designs, eigenvalues, permutations and combinations and generating functions; later weeks address inclusion-exclusion, graph theory and metric spaces.</t>
        </is>
      </c>
      <c r="M165" s="3" t="inlineStr">
        <is>
          <t>Explain the core ideas of counting principles | Apply combinatorial designs to solve standard problems | Analyze problems involving eigenvalues | Use permutations and combinations in practical exercises | Evaluate approaches to generating functions | Communicate findings about inclusion-exclusion</t>
        </is>
      </c>
      <c r="N165" s="3" t="inlineStr">
        <is>
          <t>counting principles | combinatorial designs | eigenvalues | permutations and combinations | generating functions | inclusion-exclusion | graph theory | metric spaces</t>
        </is>
      </c>
      <c r="O165" s="6" t="inlineStr">
        <is>
          <t>CAS MA 370</t>
        </is>
      </c>
      <c r="P165" s="6" t="n">
        <v>0.75</v>
      </c>
      <c r="Q165" s="6" t="inlineStr">
        <is>
          <t>Evaluator decides (50-79%)</t>
        </is>
      </c>
    </row>
    <row r="166">
      <c r="A166" s="6" t="inlineStr">
        <is>
          <t>NYU|ECON-UA 375</t>
        </is>
      </c>
      <c r="B166" s="6" t="inlineStr">
        <is>
          <t>NYU</t>
        </is>
      </c>
      <c r="C166" s="6" t="inlineStr">
        <is>
          <t>ECON-UA 375</t>
        </is>
      </c>
      <c r="D166" s="6" t="inlineStr">
        <is>
          <t>Political Economy</t>
        </is>
      </c>
      <c r="E166" s="6" t="n">
        <v>4</v>
      </c>
      <c r="F166" s="6" t="inlineStr">
        <is>
          <t>Semester</t>
        </is>
      </c>
      <c r="G166" s="6" t="n">
        <v>4</v>
      </c>
      <c r="H166" s="6" t="inlineStr">
        <is>
          <t>Economics</t>
        </is>
      </c>
      <c r="I166" s="6" t="inlineStr">
        <is>
          <t>Academic</t>
        </is>
      </c>
      <c r="J166" s="6" t="n">
        <v>300</v>
      </c>
      <c r="K166" s="3" t="inlineStr">
        <is>
          <t>SYNTHETIC course (not in the NU/NYU catalog; invented for test volume)</t>
        </is>
      </c>
      <c r="L166" s="3" t="inlineStr">
        <is>
          <t>Political Economy. Topics include interest groups, corruption, institutions, political cycles and redistribution; later weeks address voting models, government policy and inequality.</t>
        </is>
      </c>
      <c r="M166" s="3" t="inlineStr">
        <is>
          <t>Explain the core ideas of interest groups | Apply corruption to solve standard problems | Analyze problems involving institutions | Use political cycles in practical exercises | Evaluate approaches to redistribution | Communicate findings about voting models</t>
        </is>
      </c>
      <c r="N166" s="3" t="inlineStr">
        <is>
          <t>interest groups | corruption | institutions | political cycles | redistribution | voting models | government policy | inequality</t>
        </is>
      </c>
      <c r="O166" s="6" t="inlineStr">
        <is>
          <t>CAS EC 355</t>
        </is>
      </c>
      <c r="P166" s="6" t="n">
        <v>0.875</v>
      </c>
      <c r="Q166" s="6" t="inlineStr">
        <is>
          <t>Equivalent (&gt;=80%)</t>
        </is>
      </c>
    </row>
    <row r="167">
      <c r="A167" s="6" t="inlineStr">
        <is>
          <t>NYU|PSYCH-UA 366</t>
        </is>
      </c>
      <c r="B167" s="6" t="inlineStr">
        <is>
          <t>NYU</t>
        </is>
      </c>
      <c r="C167" s="6" t="inlineStr">
        <is>
          <t>PSYCH-UA 366</t>
        </is>
      </c>
      <c r="D167" s="6" t="inlineStr">
        <is>
          <t>Cognitive Neuroscience</t>
        </is>
      </c>
      <c r="E167" s="6" t="n">
        <v>4</v>
      </c>
      <c r="F167" s="6" t="inlineStr">
        <is>
          <t>Semester</t>
        </is>
      </c>
      <c r="G167" s="6" t="n">
        <v>4</v>
      </c>
      <c r="H167" s="6" t="inlineStr">
        <is>
          <t>Psychology</t>
        </is>
      </c>
      <c r="I167" s="6" t="inlineStr">
        <is>
          <t>Academic</t>
        </is>
      </c>
      <c r="J167" s="6" t="n">
        <v>300</v>
      </c>
      <c r="K167" s="3" t="inlineStr">
        <is>
          <t>SYNTHETIC course (not in the NU/NYU catalog; invented for test volume)</t>
        </is>
      </c>
      <c r="L167" s="3" t="inlineStr">
        <is>
          <t>Cognitive Neuroscience. Topics include attention, emotion and the brain, memory systems, executive function and brain imaging methods; later weeks address neuroplasticity, neurons and synapses and language and the brain.</t>
        </is>
      </c>
      <c r="M167" s="3" t="inlineStr">
        <is>
          <t>Explain the core ideas of attention | Apply emotion and the brain to solve standard problems | Analyze problems involving memory systems | Use executive function in practical exercises | Evaluate approaches to brain imaging methods | Communicate findings about neuroplasticity</t>
        </is>
      </c>
      <c r="N167" s="3" t="inlineStr">
        <is>
          <t>attention | emotion and the brain | memory systems | executive function | brain imaging methods | neuroplasticity | neurons and synapses | language and the brain</t>
        </is>
      </c>
      <c r="O167" s="6" t="inlineStr">
        <is>
          <t>CAS PS 320</t>
        </is>
      </c>
      <c r="P167" s="6" t="n">
        <v>1</v>
      </c>
      <c r="Q167" s="6" t="inlineStr">
        <is>
          <t>Equivalent (&gt;=80%)</t>
        </is>
      </c>
    </row>
    <row r="168">
      <c r="A168" s="6" t="inlineStr">
        <is>
          <t>NYU|ECON-UA 378</t>
        </is>
      </c>
      <c r="B168" s="6" t="inlineStr">
        <is>
          <t>NYU</t>
        </is>
      </c>
      <c r="C168" s="6" t="inlineStr">
        <is>
          <t>ECON-UA 378</t>
        </is>
      </c>
      <c r="D168" s="6" t="inlineStr">
        <is>
          <t>Financial Economics</t>
        </is>
      </c>
      <c r="E168" s="6" t="n">
        <v>4</v>
      </c>
      <c r="F168" s="6" t="inlineStr">
        <is>
          <t>Semester</t>
        </is>
      </c>
      <c r="G168" s="6" t="n">
        <v>4</v>
      </c>
      <c r="H168" s="6" t="inlineStr">
        <is>
          <t>Economics</t>
        </is>
      </c>
      <c r="I168" s="6" t="inlineStr">
        <is>
          <t>Academic</t>
        </is>
      </c>
      <c r="J168" s="6" t="n">
        <v>300</v>
      </c>
      <c r="K168" s="3" t="inlineStr">
        <is>
          <t>SYNTHETIC course (not in the NU/NYU catalog; invented for test volume)</t>
        </is>
      </c>
      <c r="L168" s="3" t="inlineStr">
        <is>
          <t>Financial Economics. Topics include portfolio theory, risk and return, time value of money, market efficiency and options; later weeks address behavioral finance, asset pricing and bond markets.</t>
        </is>
      </c>
      <c r="M168" s="3" t="inlineStr">
        <is>
          <t>Explain the core ideas of portfolio theory | Apply risk and return to solve standard problems | Analyze problems involving time value of money | Use market efficiency in practical exercises | Evaluate approaches to options | Communicate findings about behavioral finance</t>
        </is>
      </c>
      <c r="N168" s="3" t="inlineStr">
        <is>
          <t>portfolio theory | risk and return | time value of money | market efficiency | options | behavioral finance | asset pricing | bond markets</t>
        </is>
      </c>
      <c r="O168" s="6" t="inlineStr">
        <is>
          <t>CAS EC 325</t>
        </is>
      </c>
      <c r="P168" s="6" t="n">
        <v>1</v>
      </c>
      <c r="Q168" s="6" t="inlineStr">
        <is>
          <t>Equivalent (&gt;=80%)</t>
        </is>
      </c>
    </row>
    <row r="169">
      <c r="A169" s="6" t="inlineStr">
        <is>
          <t>NYU|ECON-UA 381</t>
        </is>
      </c>
      <c r="B169" s="6" t="inlineStr">
        <is>
          <t>NYU</t>
        </is>
      </c>
      <c r="C169" s="6" t="inlineStr">
        <is>
          <t>ECON-UA 381</t>
        </is>
      </c>
      <c r="D169" s="6" t="inlineStr">
        <is>
          <t>Bargaining and Agglomeration</t>
        </is>
      </c>
      <c r="E169" s="6" t="n">
        <v>4</v>
      </c>
      <c r="F169" s="6" t="inlineStr">
        <is>
          <t>Semester</t>
        </is>
      </c>
      <c r="G169" s="6" t="n">
        <v>4</v>
      </c>
      <c r="H169" s="6" t="inlineStr">
        <is>
          <t>Economics</t>
        </is>
      </c>
      <c r="I169" s="6" t="inlineStr">
        <is>
          <t>Academic</t>
        </is>
      </c>
      <c r="J169" s="6" t="n">
        <v>300</v>
      </c>
      <c r="K169" s="3" t="inlineStr">
        <is>
          <t>SYNTHETIC course (not in the NU/NYU catalog; invented for test volume)</t>
        </is>
      </c>
      <c r="L169" s="3" t="inlineStr">
        <is>
          <t>Bargaining and Agglomeration. Topics include consumption and saving, agglomeration, industrialization, labor supply and land use; later weeks address transportation, teacher quality and local public goods.</t>
        </is>
      </c>
      <c r="M169" s="3" t="inlineStr">
        <is>
          <t>Explain the core ideas of consumption and saving | Apply agglomeration to solve standard problems | Analyze problems involving industrialization | Use labor supply in practical exercises | Evaluate approaches to land use | Communicate findings about transportation</t>
        </is>
      </c>
      <c r="N169" s="3" t="inlineStr">
        <is>
          <t>consumption and saving | agglomeration | industrialization | labor supply | land use | transportation | teacher quality | local public goods</t>
        </is>
      </c>
      <c r="O169" s="6" t="inlineStr">
        <is>
          <t>CAS EC 310</t>
        </is>
      </c>
      <c r="P169" s="6" t="n">
        <v>0.5</v>
      </c>
      <c r="Q169" s="6" t="inlineStr">
        <is>
          <t>Evaluator decides (50-79%)</t>
        </is>
      </c>
    </row>
    <row r="170">
      <c r="A170" s="6" t="inlineStr">
        <is>
          <t>NYU|MATH-UA 387</t>
        </is>
      </c>
      <c r="B170" s="6" t="inlineStr">
        <is>
          <t>NYU</t>
        </is>
      </c>
      <c r="C170" s="6" t="inlineStr">
        <is>
          <t>MATH-UA 387</t>
        </is>
      </c>
      <c r="D170" s="6" t="inlineStr">
        <is>
          <t>Abstract Algebra 1</t>
        </is>
      </c>
      <c r="E170" s="6" t="n">
        <v>4</v>
      </c>
      <c r="F170" s="6" t="inlineStr">
        <is>
          <t>Semester</t>
        </is>
      </c>
      <c r="G170" s="6" t="n">
        <v>4</v>
      </c>
      <c r="H170" s="6" t="inlineStr">
        <is>
          <t>Mathematics</t>
        </is>
      </c>
      <c r="I170" s="6" t="inlineStr">
        <is>
          <t>Academic</t>
        </is>
      </c>
      <c r="J170" s="6" t="n">
        <v>300</v>
      </c>
      <c r="K170" s="3" t="inlineStr">
        <is>
          <t>SYNTHETIC course (not in the NU/NYU catalog; invented for test volume)</t>
        </is>
      </c>
      <c r="L170" s="3" t="inlineStr">
        <is>
          <t>Abstract Algebra 1. Topics include least squares, interpolation, root finding, subgroups and group actions; later weeks address permutation groups, homomorphisms and groups.</t>
        </is>
      </c>
      <c r="M170" s="3" t="inlineStr">
        <is>
          <t>Explain the core ideas of least squares | Apply interpolation to solve standard problems | Analyze problems involving root finding | Use subgroups in practical exercises | Evaluate approaches to group actions | Communicate findings about permutation groups</t>
        </is>
      </c>
      <c r="N170" s="3" t="inlineStr">
        <is>
          <t>least squares | interpolation | root finding | subgroups | group actions | permutation groups | homomorphisms | groups</t>
        </is>
      </c>
      <c r="O170" s="6" t="inlineStr">
        <is>
          <t>CAS MA 320</t>
        </is>
      </c>
      <c r="P170" s="6" t="n">
        <v>0.625</v>
      </c>
      <c r="Q170" s="6" t="inlineStr">
        <is>
          <t>Evaluator decides (50-79%)</t>
        </is>
      </c>
    </row>
    <row r="171">
      <c r="A171" s="6" t="inlineStr">
        <is>
          <t>NYU|ECON-UA 384</t>
        </is>
      </c>
      <c r="B171" s="6" t="inlineStr">
        <is>
          <t>NYU</t>
        </is>
      </c>
      <c r="C171" s="6" t="inlineStr">
        <is>
          <t>ECON-UA 384</t>
        </is>
      </c>
      <c r="D171" s="6" t="inlineStr">
        <is>
          <t>International Finance</t>
        </is>
      </c>
      <c r="E171" s="6" t="n">
        <v>4</v>
      </c>
      <c r="F171" s="6" t="inlineStr">
        <is>
          <t>Semester</t>
        </is>
      </c>
      <c r="G171" s="6" t="n">
        <v>4</v>
      </c>
      <c r="H171" s="6" t="inlineStr">
        <is>
          <t>Economics</t>
        </is>
      </c>
      <c r="I171" s="6" t="inlineStr">
        <is>
          <t>Academic</t>
        </is>
      </c>
      <c r="J171" s="6" t="n">
        <v>300</v>
      </c>
      <c r="K171" s="3" t="inlineStr">
        <is>
          <t>SYNTHETIC course (not in the NU/NYU catalog; invented for test volume)</t>
        </is>
      </c>
      <c r="L171" s="3" t="inlineStr">
        <is>
          <t>International Finance. Topics include open-economy macroeconomics, interest parity, capital flows, international institutions and balance of payments; later weeks address monetary unions, currency crises and exchange rates.</t>
        </is>
      </c>
      <c r="M171" s="3" t="inlineStr">
        <is>
          <t>Explain the core ideas of open-economy macroeconomics | Apply interest parity to solve standard problems | Analyze problems involving capital flows | Use international institutions in practical exercises | Evaluate approaches to balance of payments | Communicate findings about monetary unions</t>
        </is>
      </c>
      <c r="N171" s="3" t="inlineStr">
        <is>
          <t>open-economy macroeconomics | interest parity | capital flows | international institutions | balance of payments | monetary unions | currency crises | exchange rates</t>
        </is>
      </c>
      <c r="O171" s="6" t="inlineStr">
        <is>
          <t>CAS EC 340</t>
        </is>
      </c>
      <c r="P171" s="6" t="n">
        <v>1</v>
      </c>
      <c r="Q171" s="6" t="inlineStr">
        <is>
          <t>Equivalent (&gt;=80%)</t>
        </is>
      </c>
    </row>
    <row r="172">
      <c r="A172" s="6" t="inlineStr">
        <is>
          <t>NEU|ENGW 1111</t>
        </is>
      </c>
      <c r="B172" s="6" t="inlineStr">
        <is>
          <t>NEU</t>
        </is>
      </c>
      <c r="C172" s="6" t="inlineStr">
        <is>
          <t>ENGW 1111</t>
        </is>
      </c>
      <c r="D172" s="6" t="inlineStr">
        <is>
          <t>First-Year Writing</t>
        </is>
      </c>
      <c r="E172" s="6" t="n">
        <v>4</v>
      </c>
      <c r="F172" s="6" t="inlineStr">
        <is>
          <t>Semester</t>
        </is>
      </c>
      <c r="G172" s="6" t="n">
        <v>4</v>
      </c>
      <c r="H172" s="6" t="inlineStr">
        <is>
          <t>General education</t>
        </is>
      </c>
      <c r="I172" s="6" t="inlineStr">
        <is>
          <t>Academic</t>
        </is>
      </c>
      <c r="J172" s="6" t="n">
        <v>100</v>
      </c>
      <c r="K172" s="3" t="inlineStr">
        <is>
          <t>SYNTHETIC course (not in the NU/NYU catalog; invented for test volume)</t>
        </is>
      </c>
      <c r="L172" s="3" t="inlineStr">
        <is>
          <t>First-Year Writing. Topics include thesis development, academic argument, research and citation, revision, audience and purpose and source evaluation.</t>
        </is>
      </c>
      <c r="M172" s="3" t="inlineStr">
        <is>
          <t>Explain the core ideas of thesis development | Apply academic argument to solve standard problems | Analyze problems involving research and citation | Use revision in practical exercises | Evaluate approaches to audience and purpose | Communicate findings about source evaluation</t>
        </is>
      </c>
      <c r="N172" s="3" t="inlineStr">
        <is>
          <t>thesis development | academic argument | research and citation | revision | audience and purpose | source evaluation</t>
        </is>
      </c>
      <c r="O172" s="6" t="inlineStr"/>
      <c r="P172" s="6" t="n">
        <v>0</v>
      </c>
      <c r="Q172" s="6" t="inlineStr">
        <is>
          <t>No BU equivalent</t>
        </is>
      </c>
    </row>
    <row r="173">
      <c r="A173" s="6" t="inlineStr">
        <is>
          <t>NEU|HIST 1130</t>
        </is>
      </c>
      <c r="B173" s="6" t="inlineStr">
        <is>
          <t>NEU</t>
        </is>
      </c>
      <c r="C173" s="6" t="inlineStr">
        <is>
          <t>HIST 1130</t>
        </is>
      </c>
      <c r="D173" s="6" t="inlineStr">
        <is>
          <t>Introduction to World History</t>
        </is>
      </c>
      <c r="E173" s="6" t="n">
        <v>4</v>
      </c>
      <c r="F173" s="6" t="inlineStr">
        <is>
          <t>Semester</t>
        </is>
      </c>
      <c r="G173" s="6" t="n">
        <v>4</v>
      </c>
      <c r="H173" s="6" t="inlineStr">
        <is>
          <t>General education</t>
        </is>
      </c>
      <c r="I173" s="6" t="inlineStr">
        <is>
          <t>Academic</t>
        </is>
      </c>
      <c r="J173" s="6" t="n">
        <v>100</v>
      </c>
      <c r="K173" s="3" t="inlineStr">
        <is>
          <t>SYNTHETIC course (not in the NU/NYU catalog; invented for test volume)</t>
        </is>
      </c>
      <c r="L173" s="3" t="inlineStr">
        <is>
          <t>Introduction to World History. Topics include ancient civilizations, classical empires, world religions, trade networks, colonialism and historical sources.</t>
        </is>
      </c>
      <c r="M173" s="3" t="inlineStr">
        <is>
          <t>Explain the core ideas of ancient civilizations | Apply classical empires to solve standard problems | Analyze problems involving world religions | Use trade networks in practical exercises | Evaluate approaches to colonialism | Communicate findings about historical sources</t>
        </is>
      </c>
      <c r="N173" s="3" t="inlineStr">
        <is>
          <t>ancient civilizations | classical empires | world religions | trade networks | colonialism | historical sources</t>
        </is>
      </c>
      <c r="O173" s="6" t="inlineStr"/>
      <c r="P173" s="6" t="n">
        <v>0</v>
      </c>
      <c r="Q173" s="6" t="inlineStr">
        <is>
          <t>No BU equivalent</t>
        </is>
      </c>
    </row>
    <row r="174">
      <c r="A174" s="6" t="inlineStr">
        <is>
          <t>NEU|SOCL 1101</t>
        </is>
      </c>
      <c r="B174" s="6" t="inlineStr">
        <is>
          <t>NEU</t>
        </is>
      </c>
      <c r="C174" s="6" t="inlineStr">
        <is>
          <t>SOCL 1101</t>
        </is>
      </c>
      <c r="D174" s="6" t="inlineStr">
        <is>
          <t>Introduction to Sociology</t>
        </is>
      </c>
      <c r="E174" s="6" t="n">
        <v>4</v>
      </c>
      <c r="F174" s="6" t="inlineStr">
        <is>
          <t>Semester</t>
        </is>
      </c>
      <c r="G174" s="6" t="n">
        <v>4</v>
      </c>
      <c r="H174" s="6" t="inlineStr">
        <is>
          <t>General education</t>
        </is>
      </c>
      <c r="I174" s="6" t="inlineStr">
        <is>
          <t>Academic</t>
        </is>
      </c>
      <c r="J174" s="6" t="n">
        <v>100</v>
      </c>
      <c r="K174" s="3" t="inlineStr">
        <is>
          <t>SYNTHETIC course (not in the NU/NYU catalog; invented for test volume)</t>
        </is>
      </c>
      <c r="L174" s="3" t="inlineStr">
        <is>
          <t>Introduction to Sociology. Topics include sociological imagination, culture, socialization, stratification, institutions and research methods.</t>
        </is>
      </c>
      <c r="M174" s="3" t="inlineStr">
        <is>
          <t>Explain the core ideas of sociological imagination | Apply culture to solve standard problems | Analyze problems involving socialization | Use stratification in practical exercises | Evaluate approaches to institutions | Communicate findings about research methods</t>
        </is>
      </c>
      <c r="N174" s="3" t="inlineStr">
        <is>
          <t>sociological imagination | culture | socialization | stratification | institutions | research methods</t>
        </is>
      </c>
      <c r="O174" s="6" t="inlineStr"/>
      <c r="P174" s="6" t="n">
        <v>0</v>
      </c>
      <c r="Q174" s="6" t="inlineStr">
        <is>
          <t>No BU equivalent</t>
        </is>
      </c>
    </row>
    <row r="175">
      <c r="A175" s="6" t="inlineStr">
        <is>
          <t>NEU|FILM 1101</t>
        </is>
      </c>
      <c r="B175" s="6" t="inlineStr">
        <is>
          <t>NEU</t>
        </is>
      </c>
      <c r="C175" s="6" t="inlineStr">
        <is>
          <t>FILM 1101</t>
        </is>
      </c>
      <c r="D175" s="6" t="inlineStr">
        <is>
          <t>Film Analysis</t>
        </is>
      </c>
      <c r="E175" s="6" t="n">
        <v>4</v>
      </c>
      <c r="F175" s="6" t="inlineStr">
        <is>
          <t>Semester</t>
        </is>
      </c>
      <c r="G175" s="6" t="n">
        <v>4</v>
      </c>
      <c r="H175" s="6" t="inlineStr">
        <is>
          <t>General education</t>
        </is>
      </c>
      <c r="I175" s="6" t="inlineStr">
        <is>
          <t>Academic</t>
        </is>
      </c>
      <c r="J175" s="6" t="n">
        <v>100</v>
      </c>
      <c r="K175" s="3" t="inlineStr">
        <is>
          <t>SYNTHETIC course (not in the NU/NYU catalog; invented for test volume)</t>
        </is>
      </c>
      <c r="L175" s="3" t="inlineStr">
        <is>
          <t>Film Analysis. Topics include film form, cinematography, editing, genre, film history and critical writing.</t>
        </is>
      </c>
      <c r="M175" s="3" t="inlineStr">
        <is>
          <t>Explain the core ideas of film form | Apply cinematography to solve standard problems | Analyze problems involving editing | Use genre in practical exercises | Evaluate approaches to film history | Communicate findings about critical writing</t>
        </is>
      </c>
      <c r="N175" s="3" t="inlineStr">
        <is>
          <t>film form | cinematography | editing | genre | film history | critical writing</t>
        </is>
      </c>
      <c r="O175" s="6" t="inlineStr"/>
      <c r="P175" s="6" t="n">
        <v>0</v>
      </c>
      <c r="Q175" s="6" t="inlineStr">
        <is>
          <t>No BU equivalent</t>
        </is>
      </c>
    </row>
    <row r="176">
      <c r="A176" s="6" t="inlineStr">
        <is>
          <t>NEU|MATH 0990</t>
        </is>
      </c>
      <c r="B176" s="6" t="inlineStr">
        <is>
          <t>NEU</t>
        </is>
      </c>
      <c r="C176" s="6" t="inlineStr">
        <is>
          <t>MATH 0990</t>
        </is>
      </c>
      <c r="D176" s="6" t="inlineStr">
        <is>
          <t>Algebra Foundations (developmental)</t>
        </is>
      </c>
      <c r="E176" s="6" t="n">
        <v>4</v>
      </c>
      <c r="F176" s="6" t="inlineStr">
        <is>
          <t>Semester</t>
        </is>
      </c>
      <c r="G176" s="6" t="n">
        <v>4</v>
      </c>
      <c r="H176" s="6" t="inlineStr">
        <is>
          <t>Mathematics</t>
        </is>
      </c>
      <c r="I176" s="6" t="inlineStr">
        <is>
          <t>Remedial</t>
        </is>
      </c>
      <c r="J176" s="6" t="n">
        <v>100</v>
      </c>
      <c r="K176" s="3" t="inlineStr">
        <is>
          <t>SYNTHETIC course (not in the NU/NYU catalog; invented for test volume)</t>
        </is>
      </c>
      <c r="L176" s="3" t="inlineStr">
        <is>
          <t>Algebra Foundations (developmental). Topics include linear equations, inequalities, polynomials, factoring, rational expressions and graphing.</t>
        </is>
      </c>
      <c r="M176" s="3" t="inlineStr">
        <is>
          <t>Explain the core ideas of linear equations | Apply inequalities to solve standard problems | Analyze problems involving polynomials | Use factoring in practical exercises | Evaluate approaches to rational expressions | Communicate findings about graphing</t>
        </is>
      </c>
      <c r="N176" s="3" t="inlineStr">
        <is>
          <t>linear equations | inequalities | polynomials | factoring | rational expressions | graphing</t>
        </is>
      </c>
      <c r="O176" s="6" t="inlineStr"/>
      <c r="P176" s="6" t="n">
        <v>0</v>
      </c>
      <c r="Q176" s="6" t="inlineStr">
        <is>
          <t>No BU equivalent</t>
        </is>
      </c>
    </row>
    <row r="177">
      <c r="A177" s="6" t="inlineStr">
        <is>
          <t>NEU|PE 1100</t>
        </is>
      </c>
      <c r="B177" s="6" t="inlineStr">
        <is>
          <t>NEU</t>
        </is>
      </c>
      <c r="C177" s="6" t="inlineStr">
        <is>
          <t>PE 1100</t>
        </is>
      </c>
      <c r="D177" s="6" t="inlineStr">
        <is>
          <t>Fitness Fundamentals</t>
        </is>
      </c>
      <c r="E177" s="6" t="n">
        <v>2</v>
      </c>
      <c r="F177" s="6" t="inlineStr">
        <is>
          <t>Semester</t>
        </is>
      </c>
      <c r="G177" s="6" t="n">
        <v>2</v>
      </c>
      <c r="H177" s="6" t="inlineStr">
        <is>
          <t>General education</t>
        </is>
      </c>
      <c r="I177" s="6" t="inlineStr">
        <is>
          <t>Physical education</t>
        </is>
      </c>
      <c r="J177" s="6" t="n">
        <v>100</v>
      </c>
      <c r="K177" s="3" t="inlineStr">
        <is>
          <t>SYNTHETIC course (not in the NU/NYU catalog; invented for test volume)</t>
        </is>
      </c>
      <c r="L177" s="3" t="inlineStr">
        <is>
          <t>Fitness Fundamentals. Topics include cardiovascular fitness, strength training, flexibility, nutrition basics, goal setting and wellness.</t>
        </is>
      </c>
      <c r="M177" s="3" t="inlineStr">
        <is>
          <t>Explain the core ideas of cardiovascular fitness | Apply strength training to solve standard problems | Analyze problems involving flexibility | Use nutrition basics in practical exercises | Evaluate approaches to goal setting | Communicate findings about wellness</t>
        </is>
      </c>
      <c r="N177" s="3" t="inlineStr">
        <is>
          <t>cardiovascular fitness | strength training | flexibility | nutrition basics | goal setting | wellness</t>
        </is>
      </c>
      <c r="O177" s="6" t="inlineStr"/>
      <c r="P177" s="6" t="n">
        <v>0</v>
      </c>
      <c r="Q177" s="6" t="inlineStr">
        <is>
          <t>No BU equivalent</t>
        </is>
      </c>
    </row>
    <row r="178">
      <c r="A178" s="6" t="inlineStr">
        <is>
          <t>NEU|FYS 1000</t>
        </is>
      </c>
      <c r="B178" s="6" t="inlineStr">
        <is>
          <t>NEU</t>
        </is>
      </c>
      <c r="C178" s="6" t="inlineStr">
        <is>
          <t>FYS 1000</t>
        </is>
      </c>
      <c r="D178" s="6" t="inlineStr">
        <is>
          <t>First-Year Seminar</t>
        </is>
      </c>
      <c r="E178" s="6" t="n">
        <v>1</v>
      </c>
      <c r="F178" s="6" t="inlineStr">
        <is>
          <t>Semester</t>
        </is>
      </c>
      <c r="G178" s="6" t="n">
        <v>1</v>
      </c>
      <c r="H178" s="6" t="inlineStr">
        <is>
          <t>General education</t>
        </is>
      </c>
      <c r="I178" s="6" t="inlineStr">
        <is>
          <t>Academic</t>
        </is>
      </c>
      <c r="J178" s="6" t="n">
        <v>100</v>
      </c>
      <c r="K178" s="3" t="inlineStr">
        <is>
          <t>SYNTHETIC course (not in the NU/NYU catalog; invented for test volume)</t>
        </is>
      </c>
      <c r="L178" s="3" t="inlineStr">
        <is>
          <t>First-Year Seminar. Topics include college transition, academic integrity, study strategies, campus resources, reflection and goal setting.</t>
        </is>
      </c>
      <c r="M178" s="3" t="inlineStr">
        <is>
          <t>Explain the core ideas of college transition | Apply academic integrity to solve standard problems | Analyze problems involving study strategies | Use campus resources in practical exercises | Evaluate approaches to reflection | Communicate findings about goal setting</t>
        </is>
      </c>
      <c r="N178" s="3" t="inlineStr">
        <is>
          <t>college transition | academic integrity | study strategies | campus resources | reflection | goal setting</t>
        </is>
      </c>
      <c r="O178" s="6" t="inlineStr"/>
      <c r="P178" s="6" t="n">
        <v>0</v>
      </c>
      <c r="Q178" s="6" t="inlineStr">
        <is>
          <t>No BU equivalent</t>
        </is>
      </c>
    </row>
    <row r="179">
      <c r="A179" s="6" t="inlineStr">
        <is>
          <t>NEU|MILS 1101</t>
        </is>
      </c>
      <c r="B179" s="6" t="inlineStr">
        <is>
          <t>NEU</t>
        </is>
      </c>
      <c r="C179" s="6" t="inlineStr">
        <is>
          <t>MILS 1101</t>
        </is>
      </c>
      <c r="D179" s="6" t="inlineStr">
        <is>
          <t>Military Science I (ROTC)</t>
        </is>
      </c>
      <c r="E179" s="6" t="n">
        <v>2</v>
      </c>
      <c r="F179" s="6" t="inlineStr">
        <is>
          <t>Semester</t>
        </is>
      </c>
      <c r="G179" s="6" t="n">
        <v>2</v>
      </c>
      <c r="H179" s="6" t="inlineStr">
        <is>
          <t>Military science</t>
        </is>
      </c>
      <c r="I179" s="6" t="inlineStr">
        <is>
          <t>ROTC</t>
        </is>
      </c>
      <c r="J179" s="6" t="n">
        <v>100</v>
      </c>
      <c r="K179" s="3" t="inlineStr">
        <is>
          <t>SYNTHETIC course (not in the NU/NYU catalog; invented for test volume)</t>
        </is>
      </c>
      <c r="L179" s="3" t="inlineStr">
        <is>
          <t>Military Science I (ROTC). Topics include military organization, leadership basics, land navigation, physical training, military history and values and ethics.</t>
        </is>
      </c>
      <c r="M179" s="3" t="inlineStr">
        <is>
          <t>Explain the core ideas of military organization | Apply leadership basics to solve standard problems | Analyze problems involving land navigation | Use physical training in practical exercises | Evaluate approaches to military history | Communicate findings about values and ethics</t>
        </is>
      </c>
      <c r="N179" s="3" t="inlineStr">
        <is>
          <t>military organization | leadership basics | land navigation | physical training | military history | values and ethics</t>
        </is>
      </c>
      <c r="O179" s="6" t="inlineStr"/>
      <c r="P179" s="6" t="n">
        <v>0</v>
      </c>
      <c r="Q179" s="6" t="inlineStr">
        <is>
          <t>No BU equivalent</t>
        </is>
      </c>
    </row>
    <row r="180">
      <c r="A180" s="6" t="inlineStr">
        <is>
          <t>NEU|COOP 3945</t>
        </is>
      </c>
      <c r="B180" s="6" t="inlineStr">
        <is>
          <t>NEU</t>
        </is>
      </c>
      <c r="C180" s="6" t="inlineStr">
        <is>
          <t>COOP 3945</t>
        </is>
      </c>
      <c r="D180" s="6" t="inlineStr">
        <is>
          <t>Co-op Work Experience</t>
        </is>
      </c>
      <c r="E180" s="6" t="n">
        <v>4</v>
      </c>
      <c r="F180" s="6" t="inlineStr">
        <is>
          <t>Semester</t>
        </is>
      </c>
      <c r="G180" s="6" t="n">
        <v>4</v>
      </c>
      <c r="H180" s="6" t="inlineStr">
        <is>
          <t>Career</t>
        </is>
      </c>
      <c r="I180" s="6" t="inlineStr">
        <is>
          <t>Internship</t>
        </is>
      </c>
      <c r="J180" s="6" t="n">
        <v>100</v>
      </c>
      <c r="K180" s="3" t="inlineStr">
        <is>
          <t>SYNTHETIC course (not in the NU/NYU catalog; invented for test volume)</t>
        </is>
      </c>
      <c r="L180" s="3" t="inlineStr">
        <is>
          <t>Co-op Work Experience. Topics include workplace learning, professional skills, reflective journal, supervisor evaluation, career planning and final report.</t>
        </is>
      </c>
      <c r="M180" s="3" t="inlineStr">
        <is>
          <t>Explain the core ideas of workplace learning | Apply professional skills to solve standard problems | Analyze problems involving reflective journal | Use supervisor evaluation in practical exercises | Evaluate approaches to career planning | Communicate findings about final report</t>
        </is>
      </c>
      <c r="N180" s="3" t="inlineStr">
        <is>
          <t>workplace learning | professional skills | reflective journal | supervisor evaluation | career planning | final report</t>
        </is>
      </c>
      <c r="O180" s="6" t="inlineStr"/>
      <c r="P180" s="6" t="n">
        <v>0</v>
      </c>
      <c r="Q180" s="6" t="inlineStr">
        <is>
          <t>No BU equivalent</t>
        </is>
      </c>
    </row>
    <row r="181">
      <c r="A181" s="6" t="inlineStr">
        <is>
          <t>NEU|BIOL 4990</t>
        </is>
      </c>
      <c r="B181" s="6" t="inlineStr">
        <is>
          <t>NEU</t>
        </is>
      </c>
      <c r="C181" s="6" t="inlineStr">
        <is>
          <t>BIOL 4990</t>
        </is>
      </c>
      <c r="D181" s="6" t="inlineStr">
        <is>
          <t>Directed Research in Biology</t>
        </is>
      </c>
      <c r="E181" s="6" t="n">
        <v>4</v>
      </c>
      <c r="F181" s="6" t="inlineStr">
        <is>
          <t>Semester</t>
        </is>
      </c>
      <c r="G181" s="6" t="n">
        <v>4</v>
      </c>
      <c r="H181" s="6" t="inlineStr">
        <is>
          <t>Biology</t>
        </is>
      </c>
      <c r="I181" s="6" t="inlineStr">
        <is>
          <t>Research</t>
        </is>
      </c>
      <c r="J181" s="6" t="n">
        <v>100</v>
      </c>
      <c r="K181" s="3" t="inlineStr">
        <is>
          <t>SYNTHETIC course (not in the NU/NYU catalog; invented for test volume)</t>
        </is>
      </c>
      <c r="L181" s="3" t="inlineStr">
        <is>
          <t>Directed Research in Biology. Topics include research design, literature review, laboratory work, data analysis, scientific writing and poster presentation.</t>
        </is>
      </c>
      <c r="M181" s="3" t="inlineStr">
        <is>
          <t>Explain the core ideas of research design | Apply literature review to solve standard problems | Analyze problems involving laboratory work | Use data analysis in practical exercises | Evaluate approaches to scientific writing | Communicate findings about poster presentation</t>
        </is>
      </c>
      <c r="N181" s="3" t="inlineStr">
        <is>
          <t>research design | literature review | laboratory work | data analysis | scientific writing | poster presentation</t>
        </is>
      </c>
      <c r="O181" s="6" t="inlineStr"/>
      <c r="P181" s="6" t="n">
        <v>0</v>
      </c>
      <c r="Q181" s="6" t="inlineStr">
        <is>
          <t>No BU equivalent</t>
        </is>
      </c>
    </row>
    <row r="182">
      <c r="A182" s="6" t="inlineStr">
        <is>
          <t>NEU|CS 1990</t>
        </is>
      </c>
      <c r="B182" s="6" t="inlineStr">
        <is>
          <t>NEU</t>
        </is>
      </c>
      <c r="C182" s="6" t="inlineStr">
        <is>
          <t>CS 1990</t>
        </is>
      </c>
      <c r="D182" s="6" t="inlineStr">
        <is>
          <t>Introduction to Programming in Python</t>
        </is>
      </c>
      <c r="E182" s="6" t="n">
        <v>4</v>
      </c>
      <c r="F182" s="6" t="inlineStr">
        <is>
          <t>Semester</t>
        </is>
      </c>
      <c r="G182" s="6" t="n">
        <v>4</v>
      </c>
      <c r="H182" s="6" t="inlineStr">
        <is>
          <t>Computer Science</t>
        </is>
      </c>
      <c r="I182" s="6" t="inlineStr">
        <is>
          <t>Academic</t>
        </is>
      </c>
      <c r="J182" s="6" t="n">
        <v>100</v>
      </c>
      <c r="K182" s="3" t="inlineStr">
        <is>
          <t>SYNTHETIC course (not in the NU/NYU catalog; invented for test volume)</t>
        </is>
      </c>
      <c r="L182" s="3" t="inlineStr">
        <is>
          <t>Introduction to Programming in Python. Topics include variables and expressions, conditionals and loops, functions and parameters, lists and strings, file input and output and debugging and testing.</t>
        </is>
      </c>
      <c r="M182" s="3" t="inlineStr">
        <is>
          <t>Explain the core ideas of variables and expressions | Apply conditionals and loops to solve standard problems | Analyze problems involving functions and parameters | Use lists and strings in practical exercises | Evaluate approaches to file input and output | Communicate findings about debugging and testing</t>
        </is>
      </c>
      <c r="N182" s="3" t="inlineStr">
        <is>
          <t>variables and expressions | conditionals and loops | functions and parameters | lists and strings | file input and output | debugging and testing</t>
        </is>
      </c>
      <c r="O182" s="6" t="inlineStr">
        <is>
          <t>CAS CS 111</t>
        </is>
      </c>
      <c r="P182" s="6" t="n">
        <v>0.75</v>
      </c>
      <c r="Q182" s="6" t="inlineStr">
        <is>
          <t>Duplicate of CS 111 content</t>
        </is>
      </c>
    </row>
    <row r="183">
      <c r="A183" s="6" t="inlineStr">
        <is>
          <t>NYU|WRIT-UA 5</t>
        </is>
      </c>
      <c r="B183" s="6" t="inlineStr">
        <is>
          <t>NYU</t>
        </is>
      </c>
      <c r="C183" s="6" t="inlineStr">
        <is>
          <t>WRIT-UA 5</t>
        </is>
      </c>
      <c r="D183" s="6" t="inlineStr">
        <is>
          <t>Writing Workshop</t>
        </is>
      </c>
      <c r="E183" s="6" t="n">
        <v>4</v>
      </c>
      <c r="F183" s="6" t="inlineStr">
        <is>
          <t>Semester</t>
        </is>
      </c>
      <c r="G183" s="6" t="n">
        <v>4</v>
      </c>
      <c r="H183" s="6" t="inlineStr">
        <is>
          <t>General education</t>
        </is>
      </c>
      <c r="I183" s="6" t="inlineStr">
        <is>
          <t>Academic</t>
        </is>
      </c>
      <c r="J183" s="6" t="n">
        <v>100</v>
      </c>
      <c r="K183" s="3" t="inlineStr">
        <is>
          <t>SYNTHETIC course (not in the NU/NYU catalog; invented for test volume)</t>
        </is>
      </c>
      <c r="L183" s="3" t="inlineStr">
        <is>
          <t>Writing Workshop. Topics include academic argument, research and citation, source evaluation, revision, genre analysis and peer review.</t>
        </is>
      </c>
      <c r="M183" s="3" t="inlineStr">
        <is>
          <t>Explain the core ideas of academic argument | Apply research and citation to solve standard problems | Analyze problems involving source evaluation | Use revision in practical exercises | Evaluate approaches to genre analysis | Communicate findings about peer review</t>
        </is>
      </c>
      <c r="N183" s="3" t="inlineStr">
        <is>
          <t>academic argument | research and citation | source evaluation | revision | genre analysis | peer review</t>
        </is>
      </c>
      <c r="O183" s="6" t="inlineStr"/>
      <c r="P183" s="6" t="n">
        <v>0</v>
      </c>
      <c r="Q183" s="6" t="inlineStr">
        <is>
          <t>No BU equivalent</t>
        </is>
      </c>
    </row>
    <row r="184">
      <c r="A184" s="6" t="inlineStr">
        <is>
          <t>NYU|HIST-UA 10</t>
        </is>
      </c>
      <c r="B184" s="6" t="inlineStr">
        <is>
          <t>NYU</t>
        </is>
      </c>
      <c r="C184" s="6" t="inlineStr">
        <is>
          <t>HIST-UA 10</t>
        </is>
      </c>
      <c r="D184" s="6" t="inlineStr">
        <is>
          <t>Modern World History</t>
        </is>
      </c>
      <c r="E184" s="6" t="n">
        <v>4</v>
      </c>
      <c r="F184" s="6" t="inlineStr">
        <is>
          <t>Semester</t>
        </is>
      </c>
      <c r="G184" s="6" t="n">
        <v>4</v>
      </c>
      <c r="H184" s="6" t="inlineStr">
        <is>
          <t>General education</t>
        </is>
      </c>
      <c r="I184" s="6" t="inlineStr">
        <is>
          <t>Academic</t>
        </is>
      </c>
      <c r="J184" s="6" t="n">
        <v>100</v>
      </c>
      <c r="K184" s="3" t="inlineStr">
        <is>
          <t>SYNTHETIC course (not in the NU/NYU catalog; invented for test volume)</t>
        </is>
      </c>
      <c r="L184" s="3" t="inlineStr">
        <is>
          <t>Modern World History. Topics include industrialization, world wars, decolonization, Cold War, globalization and historical sources.</t>
        </is>
      </c>
      <c r="M184" s="3" t="inlineStr">
        <is>
          <t>Explain the core ideas of industrialization | Apply world wars to solve standard problems | Analyze problems involving decolonization | Use Cold War in practical exercises | Evaluate approaches to globalization | Communicate findings about historical sources</t>
        </is>
      </c>
      <c r="N184" s="3" t="inlineStr">
        <is>
          <t>industrialization | world wars | decolonization | Cold War | globalization | historical sources</t>
        </is>
      </c>
      <c r="O184" s="6" t="inlineStr"/>
      <c r="P184" s="6" t="n">
        <v>0</v>
      </c>
      <c r="Q184" s="6" t="inlineStr">
        <is>
          <t>No BU equivalent</t>
        </is>
      </c>
    </row>
    <row r="185">
      <c r="A185" s="6" t="inlineStr">
        <is>
          <t>NYU|PHIL-UA 3</t>
        </is>
      </c>
      <c r="B185" s="6" t="inlineStr">
        <is>
          <t>NYU</t>
        </is>
      </c>
      <c r="C185" s="6" t="inlineStr">
        <is>
          <t>PHIL-UA 3</t>
        </is>
      </c>
      <c r="D185" s="6" t="inlineStr">
        <is>
          <t>Introduction to Ethics</t>
        </is>
      </c>
      <c r="E185" s="6" t="n">
        <v>4</v>
      </c>
      <c r="F185" s="6" t="inlineStr">
        <is>
          <t>Semester</t>
        </is>
      </c>
      <c r="G185" s="6" t="n">
        <v>4</v>
      </c>
      <c r="H185" s="6" t="inlineStr">
        <is>
          <t>General education</t>
        </is>
      </c>
      <c r="I185" s="6" t="inlineStr">
        <is>
          <t>Academic</t>
        </is>
      </c>
      <c r="J185" s="6" t="n">
        <v>100</v>
      </c>
      <c r="K185" s="3" t="inlineStr">
        <is>
          <t>SYNTHETIC course (not in the NU/NYU catalog; invented for test volume)</t>
        </is>
      </c>
      <c r="L185" s="3" t="inlineStr">
        <is>
          <t>Introduction to Ethics. Topics include ethical theories, utilitarianism, deontology, virtue ethics, applied ethics and moral argument.</t>
        </is>
      </c>
      <c r="M185" s="3" t="inlineStr">
        <is>
          <t>Explain the core ideas of ethical theories | Apply utilitarianism to solve standard problems | Analyze problems involving deontology | Use virtue ethics in practical exercises | Evaluate approaches to applied ethics | Communicate findings about moral argument</t>
        </is>
      </c>
      <c r="N185" s="3" t="inlineStr">
        <is>
          <t>ethical theories | utilitarianism | deontology | virtue ethics | applied ethics | moral argument</t>
        </is>
      </c>
      <c r="O185" s="6" t="inlineStr"/>
      <c r="P185" s="6" t="n">
        <v>0</v>
      </c>
      <c r="Q185" s="6" t="inlineStr">
        <is>
          <t>No BU equivalent</t>
        </is>
      </c>
    </row>
    <row r="186">
      <c r="A186" s="6" t="inlineStr">
        <is>
          <t>NYU|SPAN-UA 1</t>
        </is>
      </c>
      <c r="B186" s="6" t="inlineStr">
        <is>
          <t>NYU</t>
        </is>
      </c>
      <c r="C186" s="6" t="inlineStr">
        <is>
          <t>SPAN-UA 1</t>
        </is>
      </c>
      <c r="D186" s="6" t="inlineStr">
        <is>
          <t>Elementary Spanish I</t>
        </is>
      </c>
      <c r="E186" s="6" t="n">
        <v>4</v>
      </c>
      <c r="F186" s="6" t="inlineStr">
        <is>
          <t>Semester</t>
        </is>
      </c>
      <c r="G186" s="6" t="n">
        <v>4</v>
      </c>
      <c r="H186" s="6" t="inlineStr">
        <is>
          <t>General education</t>
        </is>
      </c>
      <c r="I186" s="6" t="inlineStr">
        <is>
          <t>Academic</t>
        </is>
      </c>
      <c r="J186" s="6" t="n">
        <v>100</v>
      </c>
      <c r="K186" s="3" t="inlineStr">
        <is>
          <t>SYNTHETIC course (not in the NU/NYU catalog; invented for test volume)</t>
        </is>
      </c>
      <c r="L186" s="3" t="inlineStr">
        <is>
          <t>Elementary Spanish I. Topics include pronunciation, present tense, everyday vocabulary, conversation, Hispanic cultures and reading short texts.</t>
        </is>
      </c>
      <c r="M186" s="3" t="inlineStr">
        <is>
          <t>Explain the core ideas of pronunciation | Apply present tense to solve standard problems | Analyze problems involving everyday vocabulary | Use conversation in practical exercises | Evaluate approaches to Hispanic cultures | Communicate findings about reading short texts</t>
        </is>
      </c>
      <c r="N186" s="3" t="inlineStr">
        <is>
          <t>pronunciation | present tense | everyday vocabulary | conversation | Hispanic cultures | reading short texts</t>
        </is>
      </c>
      <c r="O186" s="6" t="inlineStr"/>
      <c r="P186" s="6" t="n">
        <v>0</v>
      </c>
      <c r="Q186" s="6" t="inlineStr">
        <is>
          <t>No BU equivalent</t>
        </is>
      </c>
    </row>
    <row r="187">
      <c r="A187" s="6" t="inlineStr">
        <is>
          <t>NYU|ART-UA 5</t>
        </is>
      </c>
      <c r="B187" s="6" t="inlineStr">
        <is>
          <t>NYU</t>
        </is>
      </c>
      <c r="C187" s="6" t="inlineStr">
        <is>
          <t>ART-UA 5</t>
        </is>
      </c>
      <c r="D187" s="6" t="inlineStr">
        <is>
          <t>Art Appreciation</t>
        </is>
      </c>
      <c r="E187" s="6" t="n">
        <v>4</v>
      </c>
      <c r="F187" s="6" t="inlineStr">
        <is>
          <t>Semester</t>
        </is>
      </c>
      <c r="G187" s="6" t="n">
        <v>4</v>
      </c>
      <c r="H187" s="6" t="inlineStr">
        <is>
          <t>General education</t>
        </is>
      </c>
      <c r="I187" s="6" t="inlineStr">
        <is>
          <t>Academic</t>
        </is>
      </c>
      <c r="J187" s="6" t="n">
        <v>100</v>
      </c>
      <c r="K187" s="3" t="inlineStr">
        <is>
          <t>SYNTHETIC course (not in the NU/NYU catalog; invented for test volume)</t>
        </is>
      </c>
      <c r="L187" s="3" t="inlineStr">
        <is>
          <t>Art Appreciation. Topics include visual elements, art media, art history overview, museum analysis, design principles and art criticism.</t>
        </is>
      </c>
      <c r="M187" s="3" t="inlineStr">
        <is>
          <t>Explain the core ideas of visual elements | Apply art media to solve standard problems | Analyze problems involving art history overview | Use museum analysis in practical exercises | Evaluate approaches to design principles | Communicate findings about art criticism</t>
        </is>
      </c>
      <c r="N187" s="3" t="inlineStr">
        <is>
          <t>visual elements | art media | art history overview | museum analysis | design principles | art criticism</t>
        </is>
      </c>
      <c r="O187" s="6" t="inlineStr"/>
      <c r="P187" s="6" t="n">
        <v>0</v>
      </c>
      <c r="Q187" s="6" t="inlineStr">
        <is>
          <t>No BU equivalent</t>
        </is>
      </c>
    </row>
    <row r="188">
      <c r="A188" s="6" t="inlineStr">
        <is>
          <t>NYU|COMM-UA 10</t>
        </is>
      </c>
      <c r="B188" s="6" t="inlineStr">
        <is>
          <t>NYU</t>
        </is>
      </c>
      <c r="C188" s="6" t="inlineStr">
        <is>
          <t>COMM-UA 10</t>
        </is>
      </c>
      <c r="D188" s="6" t="inlineStr">
        <is>
          <t>Public Speaking</t>
        </is>
      </c>
      <c r="E188" s="6" t="n">
        <v>4</v>
      </c>
      <c r="F188" s="6" t="inlineStr">
        <is>
          <t>Semester</t>
        </is>
      </c>
      <c r="G188" s="6" t="n">
        <v>4</v>
      </c>
      <c r="H188" s="6" t="inlineStr">
        <is>
          <t>General education</t>
        </is>
      </c>
      <c r="I188" s="6" t="inlineStr">
        <is>
          <t>Academic</t>
        </is>
      </c>
      <c r="J188" s="6" t="n">
        <v>100</v>
      </c>
      <c r="K188" s="3" t="inlineStr">
        <is>
          <t>SYNTHETIC course (not in the NU/NYU catalog; invented for test volume)</t>
        </is>
      </c>
      <c r="L188" s="3" t="inlineStr">
        <is>
          <t>Public Speaking. Topics include speech organization, audience analysis, delivery, persuasive speaking, visual aids and speech anxiety.</t>
        </is>
      </c>
      <c r="M188" s="3" t="inlineStr">
        <is>
          <t>Explain the core ideas of speech organization | Apply audience analysis to solve standard problems | Analyze problems involving delivery | Use persuasive speaking in practical exercises | Evaluate approaches to visual aids | Communicate findings about speech anxiety</t>
        </is>
      </c>
      <c r="N188" s="3" t="inlineStr">
        <is>
          <t>speech organization | audience analysis | delivery | persuasive speaking | visual aids | speech anxiety</t>
        </is>
      </c>
      <c r="O188" s="6" t="inlineStr"/>
      <c r="P188" s="6" t="n">
        <v>0</v>
      </c>
      <c r="Q188" s="6" t="inlineStr">
        <is>
          <t>No BU equivalent</t>
        </is>
      </c>
    </row>
    <row r="189">
      <c r="A189" s="6" t="inlineStr">
        <is>
          <t>NYU|ECON-UA 980</t>
        </is>
      </c>
      <c r="B189" s="6" t="inlineStr">
        <is>
          <t>NYU</t>
        </is>
      </c>
      <c r="C189" s="6" t="inlineStr">
        <is>
          <t>ECON-UA 980</t>
        </is>
      </c>
      <c r="D189" s="6" t="inlineStr">
        <is>
          <t>Economics Internship</t>
        </is>
      </c>
      <c r="E189" s="6" t="n">
        <v>4</v>
      </c>
      <c r="F189" s="6" t="inlineStr">
        <is>
          <t>Semester</t>
        </is>
      </c>
      <c r="G189" s="6" t="n">
        <v>4</v>
      </c>
      <c r="H189" s="6" t="inlineStr">
        <is>
          <t>Economics</t>
        </is>
      </c>
      <c r="I189" s="6" t="inlineStr">
        <is>
          <t>Internship</t>
        </is>
      </c>
      <c r="J189" s="6" t="n">
        <v>100</v>
      </c>
      <c r="K189" s="3" t="inlineStr">
        <is>
          <t>SYNTHETIC course (not in the NU/NYU catalog; invented for test volume)</t>
        </is>
      </c>
      <c r="L189" s="3" t="inlineStr">
        <is>
          <t>Economics Internship. Topics include workplace learning, professional skills, reflective journal, supervisor evaluation, career planning and final report.</t>
        </is>
      </c>
      <c r="M189" s="3" t="inlineStr">
        <is>
          <t>Explain the core ideas of workplace learning | Apply professional skills to solve standard problems | Analyze problems involving reflective journal | Use supervisor evaluation in practical exercises | Evaluate approaches to career planning | Communicate findings about final report</t>
        </is>
      </c>
      <c r="N189" s="3" t="inlineStr">
        <is>
          <t>workplace learning | professional skills | reflective journal | supervisor evaluation | career planning | final report</t>
        </is>
      </c>
      <c r="O189" s="6" t="inlineStr"/>
      <c r="P189" s="6" t="n">
        <v>0</v>
      </c>
      <c r="Q189" s="6" t="inlineStr">
        <is>
          <t>No BU equivalent</t>
        </is>
      </c>
    </row>
    <row r="190">
      <c r="A190" s="6" t="inlineStr">
        <is>
          <t>NYU|PHED-UA 10</t>
        </is>
      </c>
      <c r="B190" s="6" t="inlineStr">
        <is>
          <t>NYU</t>
        </is>
      </c>
      <c r="C190" s="6" t="inlineStr">
        <is>
          <t>PHED-UA 10</t>
        </is>
      </c>
      <c r="D190" s="6" t="inlineStr">
        <is>
          <t>Fitness and Wellness</t>
        </is>
      </c>
      <c r="E190" s="6" t="n">
        <v>2</v>
      </c>
      <c r="F190" s="6" t="inlineStr">
        <is>
          <t>Semester</t>
        </is>
      </c>
      <c r="G190" s="6" t="n">
        <v>2</v>
      </c>
      <c r="H190" s="6" t="inlineStr">
        <is>
          <t>General education</t>
        </is>
      </c>
      <c r="I190" s="6" t="inlineStr">
        <is>
          <t>Physical education</t>
        </is>
      </c>
      <c r="J190" s="6" t="n">
        <v>100</v>
      </c>
      <c r="K190" s="3" t="inlineStr">
        <is>
          <t>SYNTHETIC course (not in the NU/NYU catalog; invented for test volume)</t>
        </is>
      </c>
      <c r="L190" s="3" t="inlineStr">
        <is>
          <t>Fitness and Wellness. Topics include cardiovascular fitness, strength training, flexibility, nutrition basics, goal setting and wellness.</t>
        </is>
      </c>
      <c r="M190" s="3" t="inlineStr">
        <is>
          <t>Explain the core ideas of cardiovascular fitness | Apply strength training to solve standard problems | Analyze problems involving flexibility | Use nutrition basics in practical exercises | Evaluate approaches to goal setting | Communicate findings about wellness</t>
        </is>
      </c>
      <c r="N190" s="3" t="inlineStr">
        <is>
          <t>cardiovascular fitness | strength training | flexibility | nutrition basics | goal setting | wellness</t>
        </is>
      </c>
      <c r="O190" s="6" t="inlineStr"/>
      <c r="P190" s="6" t="n">
        <v>0</v>
      </c>
      <c r="Q190" s="6" t="inlineStr">
        <is>
          <t>No BU equivalent</t>
        </is>
      </c>
    </row>
    <row r="191">
      <c r="A191" s="6" t="inlineStr">
        <is>
          <t>NYU|MATH-UA 9</t>
        </is>
      </c>
      <c r="B191" s="6" t="inlineStr">
        <is>
          <t>NYU</t>
        </is>
      </c>
      <c r="C191" s="6" t="inlineStr">
        <is>
          <t>MATH-UA 9</t>
        </is>
      </c>
      <c r="D191" s="3" t="inlineStr">
        <is>
          <t>Algebra and Calculus Foundations (developmental)</t>
        </is>
      </c>
      <c r="E191" s="6" t="n">
        <v>4</v>
      </c>
      <c r="F191" s="6" t="inlineStr">
        <is>
          <t>Semester</t>
        </is>
      </c>
      <c r="G191" s="6" t="n">
        <v>4</v>
      </c>
      <c r="H191" s="6" t="inlineStr">
        <is>
          <t>Mathematics</t>
        </is>
      </c>
      <c r="I191" s="6" t="inlineStr">
        <is>
          <t>Remedial</t>
        </is>
      </c>
      <c r="J191" s="6" t="n">
        <v>100</v>
      </c>
      <c r="K191" s="3" t="inlineStr">
        <is>
          <t>SYNTHETIC course (not in the NU/NYU catalog; invented for test volume)</t>
        </is>
      </c>
      <c r="L191" s="3" t="inlineStr">
        <is>
          <t>Algebra and Calculus Foundations (developmental). Topics include linear equations, functions, polynomials, exponential functions, logarithms and graphing.</t>
        </is>
      </c>
      <c r="M191" s="3" t="inlineStr">
        <is>
          <t>Explain the core ideas of linear equations | Apply functions to solve standard problems | Analyze problems involving polynomials | Use exponential functions in practical exercises | Evaluate approaches to logarithms | Communicate findings about graphing</t>
        </is>
      </c>
      <c r="N191" s="3" t="inlineStr">
        <is>
          <t>linear equations | functions | polynomials | exponential functions | logarithms | graphing</t>
        </is>
      </c>
      <c r="O191" s="6" t="inlineStr"/>
      <c r="P191" s="6" t="n">
        <v>0</v>
      </c>
      <c r="Q191" s="6" t="inlineStr">
        <is>
          <t>No BU equivalent</t>
        </is>
      </c>
    </row>
    <row r="192">
      <c r="A192" s="6" t="inlineStr">
        <is>
          <t>NYU|PSYCH-UA 997</t>
        </is>
      </c>
      <c r="B192" s="6" t="inlineStr">
        <is>
          <t>NYU</t>
        </is>
      </c>
      <c r="C192" s="6" t="inlineStr">
        <is>
          <t>PSYCH-UA 997</t>
        </is>
      </c>
      <c r="D192" s="6" t="inlineStr">
        <is>
          <t>Independent Research in Psychology</t>
        </is>
      </c>
      <c r="E192" s="6" t="n">
        <v>4</v>
      </c>
      <c r="F192" s="6" t="inlineStr">
        <is>
          <t>Semester</t>
        </is>
      </c>
      <c r="G192" s="6" t="n">
        <v>4</v>
      </c>
      <c r="H192" s="6" t="inlineStr">
        <is>
          <t>Psychology</t>
        </is>
      </c>
      <c r="I192" s="6" t="inlineStr">
        <is>
          <t>Research</t>
        </is>
      </c>
      <c r="J192" s="6" t="n">
        <v>100</v>
      </c>
      <c r="K192" s="3" t="inlineStr">
        <is>
          <t>SYNTHETIC course (not in the NU/NYU catalog; invented for test volume)</t>
        </is>
      </c>
      <c r="L192" s="3" t="inlineStr">
        <is>
          <t>Independent Research in Psychology. Topics include research design, literature review, data collection, data analysis, scientific writing and presentation.</t>
        </is>
      </c>
      <c r="M192" s="3" t="inlineStr">
        <is>
          <t>Explain the core ideas of research design | Apply literature review to solve standard problems | Analyze problems involving data collection | Use data analysis in practical exercises | Evaluate approaches to scientific writing | Communicate findings about presentation</t>
        </is>
      </c>
      <c r="N192" s="3" t="inlineStr">
        <is>
          <t>research design | literature review | data collection | data analysis | scientific writing | presentation</t>
        </is>
      </c>
      <c r="O192" s="6" t="inlineStr"/>
      <c r="P192" s="6" t="n">
        <v>0</v>
      </c>
      <c r="Q192" s="6" t="inlineStr">
        <is>
          <t>No BU equivalent</t>
        </is>
      </c>
    </row>
    <row r="193">
      <c r="A193" s="6" t="inlineStr">
        <is>
          <t>PSC|PSY 215</t>
        </is>
      </c>
      <c r="B193" s="6" t="inlineStr">
        <is>
          <t>PSC</t>
        </is>
      </c>
      <c r="C193" s="6" t="inlineStr">
        <is>
          <t>PSY 215</t>
        </is>
      </c>
      <c r="D193" s="6" t="inlineStr">
        <is>
          <t>Psychology of Music</t>
        </is>
      </c>
      <c r="E193" s="6" t="n">
        <v>4</v>
      </c>
      <c r="F193" s="6" t="inlineStr">
        <is>
          <t>Quarter</t>
        </is>
      </c>
      <c r="G193" s="6" t="n">
        <v>2.67</v>
      </c>
      <c r="H193" s="6" t="inlineStr">
        <is>
          <t>Psychology</t>
        </is>
      </c>
      <c r="I193" s="6" t="inlineStr">
        <is>
          <t>Academic</t>
        </is>
      </c>
      <c r="J193" s="6" t="n">
        <v>100</v>
      </c>
      <c r="K193" s="6" t="inlineStr">
        <is>
          <t>Fictional helper school (synthetic)</t>
        </is>
      </c>
      <c r="L193" s="3" t="inlineStr">
        <is>
          <t>Psychology of Music. Topics include music perception, emotion and music, music and memory, musical development, music therapy and cultural differences in music.</t>
        </is>
      </c>
      <c r="M193" s="3" t="inlineStr">
        <is>
          <t>Explain the core ideas of music perception | Apply emotion and music to solve standard problems | Analyze problems involving music and memory | Use musical development in practical exercises | Evaluate approaches to music therapy | Communicate findings about cultural differences in music</t>
        </is>
      </c>
      <c r="N193" s="3" t="inlineStr">
        <is>
          <t>music perception | emotion and music | music and memory | musical development | music therapy | cultural differences in music</t>
        </is>
      </c>
      <c r="O193" s="6" t="inlineStr"/>
      <c r="P193" s="6" t="n">
        <v>0</v>
      </c>
      <c r="Q193" s="6" t="inlineStr">
        <is>
          <t>No BU equivalent</t>
        </is>
      </c>
    </row>
    <row r="194">
      <c r="A194" s="6" t="inlineStr">
        <is>
          <t>SOI|ECO 210</t>
        </is>
      </c>
      <c r="B194" s="6" t="inlineStr">
        <is>
          <t>SOI</t>
        </is>
      </c>
      <c r="C194" s="6" t="inlineStr">
        <is>
          <t>ECO 210</t>
        </is>
      </c>
      <c r="D194" s="6" t="inlineStr">
        <is>
          <t>Personal Finance</t>
        </is>
      </c>
      <c r="E194" s="6" t="n">
        <v>3</v>
      </c>
      <c r="F194" s="6" t="inlineStr">
        <is>
          <t>Semester</t>
        </is>
      </c>
      <c r="G194" s="6" t="n">
        <v>3</v>
      </c>
      <c r="H194" s="6" t="inlineStr">
        <is>
          <t>Economics</t>
        </is>
      </c>
      <c r="I194" s="6" t="inlineStr">
        <is>
          <t>Academic</t>
        </is>
      </c>
      <c r="J194" s="6" t="n">
        <v>100</v>
      </c>
      <c r="K194" s="6" t="inlineStr">
        <is>
          <t>Fictional helper school (synthetic)</t>
        </is>
      </c>
      <c r="L194" s="3" t="inlineStr">
        <is>
          <t>Personal Finance. Topics include budgeting, credit, saving and investing, insurance, taxes and retirement planning.</t>
        </is>
      </c>
      <c r="M194" s="3" t="inlineStr">
        <is>
          <t>Explain the core ideas of budgeting | Apply credit to solve standard problems | Analyze problems involving saving and investing | Use insurance in practical exercises | Evaluate approaches to taxes | Communicate findings about retirement planning</t>
        </is>
      </c>
      <c r="N194" s="3" t="inlineStr">
        <is>
          <t>budgeting | credit | saving and investing | insurance | taxes | retirement planning</t>
        </is>
      </c>
      <c r="O194" s="6" t="inlineStr"/>
      <c r="P194" s="6" t="n">
        <v>0</v>
      </c>
      <c r="Q194" s="6" t="inlineStr">
        <is>
          <t>No BU equivalent</t>
        </is>
      </c>
    </row>
    <row r="195">
      <c r="A195" s="6" t="inlineStr">
        <is>
          <t>SOI|BUS 101</t>
        </is>
      </c>
      <c r="B195" s="6" t="inlineStr">
        <is>
          <t>SOI</t>
        </is>
      </c>
      <c r="C195" s="6" t="inlineStr">
        <is>
          <t>BUS 101</t>
        </is>
      </c>
      <c r="D195" s="6" t="inlineStr">
        <is>
          <t>Introduction to Business</t>
        </is>
      </c>
      <c r="E195" s="6" t="n">
        <v>3</v>
      </c>
      <c r="F195" s="6" t="inlineStr">
        <is>
          <t>Semester</t>
        </is>
      </c>
      <c r="G195" s="6" t="n">
        <v>3</v>
      </c>
      <c r="H195" s="6" t="inlineStr">
        <is>
          <t>General education</t>
        </is>
      </c>
      <c r="I195" s="6" t="inlineStr">
        <is>
          <t>Academic</t>
        </is>
      </c>
      <c r="J195" s="6" t="n">
        <v>100</v>
      </c>
      <c r="K195" s="6" t="inlineStr">
        <is>
          <t>Fictional helper school (synthetic)</t>
        </is>
      </c>
      <c r="L195" s="3" t="inlineStr">
        <is>
          <t>Introduction to Business. Topics include business functions, management, marketing, accounting basics, entrepreneurship and business ethics.</t>
        </is>
      </c>
      <c r="M195" s="3" t="inlineStr">
        <is>
          <t>Explain the core ideas of business functions | Apply management to solve standard problems | Analyze problems involving marketing | Use accounting basics in practical exercises | Evaluate approaches to entrepreneurship | Communicate findings about business ethics</t>
        </is>
      </c>
      <c r="N195" s="3" t="inlineStr">
        <is>
          <t>business functions | management | marketing | accounting basics | entrepreneurship | business ethics</t>
        </is>
      </c>
      <c r="O195" s="6" t="inlineStr"/>
      <c r="P195" s="6" t="n">
        <v>0</v>
      </c>
      <c r="Q195" s="6" t="inlineStr">
        <is>
          <t>No BU equivalent</t>
        </is>
      </c>
    </row>
  </sheetData>
  <autoFilter ref="A1:Q1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3" customWidth="1" min="1" max="1"/>
    <col width="14.4" customWidth="1" min="2" max="2"/>
    <col width="10" customWidth="1" min="3" max="3"/>
    <col width="15" customWidth="1" min="4" max="4"/>
    <col width="40" customWidth="1" min="5" max="5"/>
    <col width="16" customWidth="1" min="6" max="6"/>
    <col width="10" customWidth="1" min="7" max="7"/>
    <col width="10" customWidth="1" min="8" max="8"/>
    <col width="11.7" customWidth="1" min="9" max="9"/>
    <col width="15" customWidth="1" min="10" max="10"/>
    <col width="10" customWidth="1" min="11" max="11"/>
    <col width="13" customWidth="1" min="12" max="12"/>
    <col width="11" customWidth="1" min="13" max="13"/>
    <col width="21.6" customWidth="1" min="14" max="14"/>
    <col width="15.3" customWidth="1" min="15" max="15"/>
    <col width="15" customWidth="1" min="16" max="16"/>
    <col width="14" customWidth="1" min="17" max="17"/>
    <col width="10" customWidth="1" min="18" max="18"/>
    <col width="10" customWidth="1" min="19" max="19"/>
    <col width="45" customWidth="1" min="20" max="20"/>
  </cols>
  <sheetData>
    <row r="1">
      <c r="A1" s="5" t="inlineStr">
        <is>
          <t>Decision ID</t>
        </is>
      </c>
      <c r="B1" s="5" t="inlineStr">
        <is>
          <t>Ext ID</t>
        </is>
      </c>
      <c r="C1" s="5" t="inlineStr">
        <is>
          <t>School</t>
        </is>
      </c>
      <c r="D1" s="5" t="inlineStr">
        <is>
          <t>Source course</t>
        </is>
      </c>
      <c r="E1" s="5" t="inlineStr">
        <is>
          <t>Source title</t>
        </is>
      </c>
      <c r="F1" s="5" t="inlineStr">
        <is>
          <t>Source credits</t>
        </is>
      </c>
      <c r="G1" s="5" t="inlineStr">
        <is>
          <t>Calendar</t>
        </is>
      </c>
      <c r="H1" s="5" t="inlineStr">
        <is>
          <t>Decision</t>
        </is>
      </c>
      <c r="I1" s="5" t="inlineStr">
        <is>
          <t>BU course</t>
        </is>
      </c>
      <c r="J1" s="5" t="inlineStr">
        <is>
          <t>Units awarded</t>
        </is>
      </c>
      <c r="K1" s="5" t="inlineStr">
        <is>
          <t>BU grade</t>
        </is>
      </c>
      <c r="L1" s="5" t="inlineStr">
        <is>
          <t>Reason code</t>
        </is>
      </c>
      <c r="M1" s="5" t="inlineStr">
        <is>
          <t>Overlap %</t>
        </is>
      </c>
      <c r="N1" s="5" t="inlineStr">
        <is>
          <t>Decided by</t>
        </is>
      </c>
      <c r="O1" s="5" t="inlineStr">
        <is>
          <t>Department</t>
        </is>
      </c>
      <c r="P1" s="5" t="inlineStr">
        <is>
          <t>Decision date</t>
        </is>
      </c>
      <c r="Q1" s="5" t="inlineStr">
        <is>
          <t>Catalog year</t>
        </is>
      </c>
      <c r="R1" s="5" t="inlineStr">
        <is>
          <t>Reusable</t>
        </is>
      </c>
      <c r="S1" s="5" t="inlineStr">
        <is>
          <t>Split</t>
        </is>
      </c>
      <c r="T1" s="5" t="inlineStr">
        <is>
          <t>Notes</t>
        </is>
      </c>
    </row>
    <row r="2">
      <c r="A2" s="6" t="inlineStr">
        <is>
          <t>D-0001</t>
        </is>
      </c>
      <c r="B2" s="6" t="inlineStr">
        <is>
          <t>NYU|PSYCH-UA 1</t>
        </is>
      </c>
      <c r="C2" s="6" t="inlineStr">
        <is>
          <t>NYU</t>
        </is>
      </c>
      <c r="D2" s="6" t="inlineStr">
        <is>
          <t>PSYCH-UA 1</t>
        </is>
      </c>
      <c r="E2" s="6" t="inlineStr">
        <is>
          <t>Intro to Psychology</t>
        </is>
      </c>
      <c r="F2" s="6" t="n">
        <v>4</v>
      </c>
      <c r="G2" s="6" t="inlineStr">
        <is>
          <t>Semester</t>
        </is>
      </c>
      <c r="H2" s="6" t="inlineStr">
        <is>
          <t>Equivalent</t>
        </is>
      </c>
      <c r="I2" s="6" t="inlineStr">
        <is>
          <t>CAS PS 101</t>
        </is>
      </c>
      <c r="J2" s="6" t="n">
        <v>4</v>
      </c>
      <c r="K2" s="6" t="inlineStr">
        <is>
          <t>T</t>
        </is>
      </c>
      <c r="L2" s="6" t="inlineStr">
        <is>
          <t>EQ-CONTENT</t>
        </is>
      </c>
      <c r="M2" s="6" t="n">
        <v>88</v>
      </c>
      <c r="N2" s="6" t="inlineStr">
        <is>
          <t>Evaluator PS-A</t>
        </is>
      </c>
      <c r="O2" s="6" t="inlineStr">
        <is>
          <t>Psychology</t>
        </is>
      </c>
      <c r="P2" s="6" t="inlineStr">
        <is>
          <t>2025-08-02</t>
        </is>
      </c>
      <c r="Q2" s="6" t="inlineStr">
        <is>
          <t>2024-25</t>
        </is>
      </c>
      <c r="R2" s="6" t="inlineStr">
        <is>
          <t>Yes</t>
        </is>
      </c>
      <c r="S2" s="6" t="inlineStr">
        <is>
          <t>train</t>
        </is>
      </c>
      <c r="T2" s="6" t="inlineStr"/>
    </row>
    <row r="3">
      <c r="A3" s="6" t="inlineStr">
        <is>
          <t>D-0002</t>
        </is>
      </c>
      <c r="B3" s="6" t="inlineStr">
        <is>
          <t>NYU|MATH-UA 121</t>
        </is>
      </c>
      <c r="C3" s="6" t="inlineStr">
        <is>
          <t>NYU</t>
        </is>
      </c>
      <c r="D3" s="6" t="inlineStr">
        <is>
          <t>MATH-UA 121</t>
        </is>
      </c>
      <c r="E3" s="6" t="inlineStr">
        <is>
          <t>Calculus I</t>
        </is>
      </c>
      <c r="F3" s="6" t="n">
        <v>4</v>
      </c>
      <c r="G3" s="6" t="inlineStr">
        <is>
          <t>Semester</t>
        </is>
      </c>
      <c r="H3" s="6" t="inlineStr">
        <is>
          <t>Equivalent</t>
        </is>
      </c>
      <c r="I3" s="6" t="inlineStr">
        <is>
          <t>CAS MA 123</t>
        </is>
      </c>
      <c r="J3" s="6" t="n">
        <v>4</v>
      </c>
      <c r="K3" s="6" t="inlineStr">
        <is>
          <t>T</t>
        </is>
      </c>
      <c r="L3" s="6" t="inlineStr">
        <is>
          <t>EQ-CONTENT</t>
        </is>
      </c>
      <c r="M3" s="6" t="n">
        <v>100</v>
      </c>
      <c r="N3" s="6" t="inlineStr">
        <is>
          <t>Evaluator MA-B</t>
        </is>
      </c>
      <c r="O3" s="6" t="inlineStr">
        <is>
          <t>Mathematics</t>
        </is>
      </c>
      <c r="P3" s="6" t="inlineStr">
        <is>
          <t>2024-12-08</t>
        </is>
      </c>
      <c r="Q3" s="6" t="inlineStr">
        <is>
          <t>2024-25</t>
        </is>
      </c>
      <c r="R3" s="6" t="inlineStr">
        <is>
          <t>Yes</t>
        </is>
      </c>
      <c r="S3" s="6" t="inlineStr">
        <is>
          <t>train</t>
        </is>
      </c>
      <c r="T3" s="6" t="inlineStr"/>
    </row>
    <row r="4">
      <c r="A4" s="6" t="inlineStr">
        <is>
          <t>D-0003</t>
        </is>
      </c>
      <c r="B4" s="6" t="inlineStr">
        <is>
          <t>NYU|ECON-UA 2</t>
        </is>
      </c>
      <c r="C4" s="6" t="inlineStr">
        <is>
          <t>NYU</t>
        </is>
      </c>
      <c r="D4" s="6" t="inlineStr">
        <is>
          <t>ECON-UA 2</t>
        </is>
      </c>
      <c r="E4" s="6" t="inlineStr">
        <is>
          <t>Introduction to Microeconomics</t>
        </is>
      </c>
      <c r="F4" s="6" t="n">
        <v>4</v>
      </c>
      <c r="G4" s="6" t="inlineStr">
        <is>
          <t>Semester</t>
        </is>
      </c>
      <c r="H4" s="6" t="inlineStr">
        <is>
          <t>Equivalent</t>
        </is>
      </c>
      <c r="I4" s="6" t="inlineStr">
        <is>
          <t>CAS EC 101</t>
        </is>
      </c>
      <c r="J4" s="6" t="n">
        <v>4</v>
      </c>
      <c r="K4" s="6" t="inlineStr">
        <is>
          <t>T</t>
        </is>
      </c>
      <c r="L4" s="6" t="inlineStr">
        <is>
          <t>EQ-CONTENT</t>
        </is>
      </c>
      <c r="M4" s="6" t="n">
        <v>88</v>
      </c>
      <c r="N4" s="6" t="inlineStr">
        <is>
          <t>Evaluator EC-B</t>
        </is>
      </c>
      <c r="O4" s="6" t="inlineStr">
        <is>
          <t>Economics</t>
        </is>
      </c>
      <c r="P4" s="6" t="inlineStr">
        <is>
          <t>2024-05-25</t>
        </is>
      </c>
      <c r="Q4" s="6" t="inlineStr">
        <is>
          <t>2024-25</t>
        </is>
      </c>
      <c r="R4" s="6" t="inlineStr">
        <is>
          <t>Yes</t>
        </is>
      </c>
      <c r="S4" s="6" t="inlineStr">
        <is>
          <t>train</t>
        </is>
      </c>
      <c r="T4" s="6" t="inlineStr"/>
    </row>
    <row r="5">
      <c r="A5" s="6" t="inlineStr">
        <is>
          <t>D-0004</t>
        </is>
      </c>
      <c r="B5" s="6" t="inlineStr">
        <is>
          <t>PSC|PSY 215</t>
        </is>
      </c>
      <c r="C5" s="6" t="inlineStr">
        <is>
          <t>PSC</t>
        </is>
      </c>
      <c r="D5" s="6" t="inlineStr">
        <is>
          <t>PSY 215</t>
        </is>
      </c>
      <c r="E5" s="6" t="inlineStr">
        <is>
          <t>Psychology of Music</t>
        </is>
      </c>
      <c r="F5" s="6" t="n">
        <v>4</v>
      </c>
      <c r="G5" s="6" t="inlineStr">
        <is>
          <t>Quarter</t>
        </is>
      </c>
      <c r="H5" s="6" t="inlineStr">
        <is>
          <t>Elective</t>
        </is>
      </c>
      <c r="I5" s="6" t="inlineStr">
        <is>
          <t>CAS PS 2TR</t>
        </is>
      </c>
      <c r="J5" s="6" t="n">
        <v>2.67</v>
      </c>
      <c r="K5" s="6" t="inlineStr">
        <is>
          <t>T</t>
        </is>
      </c>
      <c r="L5" s="6" t="inlineStr">
        <is>
          <t>EL-NOEQUIV</t>
        </is>
      </c>
      <c r="M5" s="6" t="n"/>
      <c r="N5" s="6" t="inlineStr">
        <is>
          <t>Evaluator PS-A</t>
        </is>
      </c>
      <c r="O5" s="6" t="inlineStr">
        <is>
          <t>Psychology</t>
        </is>
      </c>
      <c r="P5" s="6" t="inlineStr">
        <is>
          <t>2025-03-22</t>
        </is>
      </c>
      <c r="Q5" s="6" t="inlineStr">
        <is>
          <t>2023-24</t>
        </is>
      </c>
      <c r="R5" s="6" t="inlineStr">
        <is>
          <t>Yes</t>
        </is>
      </c>
      <c r="S5" s="6" t="inlineStr">
        <is>
          <t>train</t>
        </is>
      </c>
      <c r="T5" s="6" t="inlineStr"/>
    </row>
    <row r="6">
      <c r="A6" s="6" t="inlineStr">
        <is>
          <t>D-0005</t>
        </is>
      </c>
      <c r="B6" s="6" t="inlineStr">
        <is>
          <t>NEU|HIST 1130</t>
        </is>
      </c>
      <c r="C6" s="6" t="inlineStr">
        <is>
          <t>NEU</t>
        </is>
      </c>
      <c r="D6" s="6" t="inlineStr">
        <is>
          <t>HIST 1130</t>
        </is>
      </c>
      <c r="E6" s="6" t="inlineStr">
        <is>
          <t>Introduction to World History</t>
        </is>
      </c>
      <c r="F6" s="6" t="n">
        <v>4</v>
      </c>
      <c r="G6" s="6" t="inlineStr">
        <is>
          <t>Semester</t>
        </is>
      </c>
      <c r="H6" s="6" t="inlineStr">
        <is>
          <t>Elective</t>
        </is>
      </c>
      <c r="I6" s="6" t="inlineStr">
        <is>
          <t>TFRGEN 1TR</t>
        </is>
      </c>
      <c r="J6" s="6" t="n">
        <v>4</v>
      </c>
      <c r="K6" s="6" t="inlineStr">
        <is>
          <t>T</t>
        </is>
      </c>
      <c r="L6" s="6" t="inlineStr">
        <is>
          <t>EL-NOEQUIV</t>
        </is>
      </c>
      <c r="M6" s="6" t="n"/>
      <c r="N6" s="6" t="inlineStr">
        <is>
          <t>Credit Evaluation Office</t>
        </is>
      </c>
      <c r="O6" s="6" t="inlineStr">
        <is>
          <t>General education</t>
        </is>
      </c>
      <c r="P6" s="6" t="inlineStr">
        <is>
          <t>2024-05-19</t>
        </is>
      </c>
      <c r="Q6" s="6" t="inlineStr">
        <is>
          <t>2023-24</t>
        </is>
      </c>
      <c r="R6" s="6" t="inlineStr">
        <is>
          <t>Yes</t>
        </is>
      </c>
      <c r="S6" s="6" t="inlineStr">
        <is>
          <t>train</t>
        </is>
      </c>
      <c r="T6" s="6" t="inlineStr"/>
    </row>
    <row r="7">
      <c r="A7" s="6" t="inlineStr">
        <is>
          <t>D-0006</t>
        </is>
      </c>
      <c r="B7" s="6" t="inlineStr">
        <is>
          <t>NEU|CS 2000</t>
        </is>
      </c>
      <c r="C7" s="6" t="inlineStr">
        <is>
          <t>NEU</t>
        </is>
      </c>
      <c r="D7" s="6" t="inlineStr">
        <is>
          <t>CS 2000</t>
        </is>
      </c>
      <c r="E7" s="3" t="inlineStr">
        <is>
          <t>Introduction to Program Design and Implementation</t>
        </is>
      </c>
      <c r="F7" s="6" t="n">
        <v>5</v>
      </c>
      <c r="G7" s="6" t="inlineStr">
        <is>
          <t>Semester</t>
        </is>
      </c>
      <c r="H7" s="6" t="inlineStr">
        <is>
          <t>Equivalent</t>
        </is>
      </c>
      <c r="I7" s="6" t="inlineStr">
        <is>
          <t>CAS CS 111</t>
        </is>
      </c>
      <c r="J7" s="6" t="n">
        <v>5</v>
      </c>
      <c r="K7" s="6" t="inlineStr">
        <is>
          <t>T</t>
        </is>
      </c>
      <c r="L7" s="6" t="inlineStr">
        <is>
          <t>EQ-CONTENT</t>
        </is>
      </c>
      <c r="M7" s="6" t="n">
        <v>88</v>
      </c>
      <c r="N7" s="6" t="inlineStr">
        <is>
          <t>Evaluator CS-A</t>
        </is>
      </c>
      <c r="O7" s="6" t="inlineStr">
        <is>
          <t>Computer Science</t>
        </is>
      </c>
      <c r="P7" s="6" t="inlineStr">
        <is>
          <t>2025-11-01</t>
        </is>
      </c>
      <c r="Q7" s="6" t="inlineStr">
        <is>
          <t>2024-25</t>
        </is>
      </c>
      <c r="R7" s="6" t="inlineStr">
        <is>
          <t>Yes</t>
        </is>
      </c>
      <c r="S7" s="6" t="inlineStr">
        <is>
          <t>train</t>
        </is>
      </c>
      <c r="T7" s="6" t="inlineStr"/>
    </row>
    <row r="8">
      <c r="A8" s="6" t="inlineStr">
        <is>
          <t>D-0007</t>
        </is>
      </c>
      <c r="B8" s="6" t="inlineStr">
        <is>
          <t>NEU|MATH 1341</t>
        </is>
      </c>
      <c r="C8" s="6" t="inlineStr">
        <is>
          <t>NEU</t>
        </is>
      </c>
      <c r="D8" s="6" t="inlineStr">
        <is>
          <t>MATH 1341</t>
        </is>
      </c>
      <c r="E8" s="6" t="inlineStr">
        <is>
          <t>Calculus 1 for Science and Engineering</t>
        </is>
      </c>
      <c r="F8" s="6" t="n">
        <v>4</v>
      </c>
      <c r="G8" s="6" t="inlineStr">
        <is>
          <t>Semester</t>
        </is>
      </c>
      <c r="H8" s="6" t="inlineStr">
        <is>
          <t>Equivalent</t>
        </is>
      </c>
      <c r="I8" s="6" t="inlineStr">
        <is>
          <t>CAS MA 123</t>
        </is>
      </c>
      <c r="J8" s="6" t="n">
        <v>4</v>
      </c>
      <c r="K8" s="6" t="inlineStr">
        <is>
          <t>T</t>
        </is>
      </c>
      <c r="L8" s="6" t="inlineStr">
        <is>
          <t>EQ-CONTENT</t>
        </is>
      </c>
      <c r="M8" s="6" t="n">
        <v>88</v>
      </c>
      <c r="N8" s="6" t="inlineStr">
        <is>
          <t>Evaluator MA-B</t>
        </is>
      </c>
      <c r="O8" s="6" t="inlineStr">
        <is>
          <t>Mathematics</t>
        </is>
      </c>
      <c r="P8" s="6" t="inlineStr">
        <is>
          <t>2025-06-24</t>
        </is>
      </c>
      <c r="Q8" s="6" t="inlineStr">
        <is>
          <t>2024-25</t>
        </is>
      </c>
      <c r="R8" s="6" t="inlineStr">
        <is>
          <t>Yes</t>
        </is>
      </c>
      <c r="S8" s="6" t="inlineStr">
        <is>
          <t>train</t>
        </is>
      </c>
      <c r="T8" s="6" t="inlineStr"/>
    </row>
    <row r="9">
      <c r="A9" s="6" t="inlineStr">
        <is>
          <t>D-0008</t>
        </is>
      </c>
      <c r="B9" s="6" t="inlineStr">
        <is>
          <t>NEU|MATH 0990</t>
        </is>
      </c>
      <c r="C9" s="6" t="inlineStr">
        <is>
          <t>NEU</t>
        </is>
      </c>
      <c r="D9" s="6" t="inlineStr">
        <is>
          <t>MATH 0990</t>
        </is>
      </c>
      <c r="E9" s="6" t="inlineStr">
        <is>
          <t>Algebra Foundations (developmental)</t>
        </is>
      </c>
      <c r="F9" s="6" t="n">
        <v>4</v>
      </c>
      <c r="G9" s="6" t="inlineStr">
        <is>
          <t>Semester</t>
        </is>
      </c>
      <c r="H9" s="6" t="inlineStr">
        <is>
          <t>No credit</t>
        </is>
      </c>
      <c r="I9" s="6" t="inlineStr">
        <is>
          <t>TFRGEN NOCRDT</t>
        </is>
      </c>
      <c r="J9" s="6" t="n">
        <v>0</v>
      </c>
      <c r="K9" s="6" t="inlineStr">
        <is>
          <t>TX</t>
        </is>
      </c>
      <c r="L9" s="6" t="inlineStr">
        <is>
          <t>NC-REMEDIAL</t>
        </is>
      </c>
      <c r="M9" s="6" t="n"/>
      <c r="N9" s="6" t="inlineStr">
        <is>
          <t>Credit Evaluation Office</t>
        </is>
      </c>
      <c r="O9" s="6" t="inlineStr">
        <is>
          <t>Mathematics</t>
        </is>
      </c>
      <c r="P9" s="6" t="inlineStr">
        <is>
          <t>2024-09-22</t>
        </is>
      </c>
      <c r="Q9" s="6" t="inlineStr">
        <is>
          <t>2024-25</t>
        </is>
      </c>
      <c r="R9" s="6" t="inlineStr">
        <is>
          <t>Yes</t>
        </is>
      </c>
      <c r="S9" s="6" t="inlineStr">
        <is>
          <t>train</t>
        </is>
      </c>
      <c r="T9" s="6" t="inlineStr"/>
    </row>
    <row r="10">
      <c r="A10" s="6" t="inlineStr">
        <is>
          <t>D-0009</t>
        </is>
      </c>
      <c r="B10" s="6" t="inlineStr">
        <is>
          <t>NEU|PE 1100</t>
        </is>
      </c>
      <c r="C10" s="6" t="inlineStr">
        <is>
          <t>NEU</t>
        </is>
      </c>
      <c r="D10" s="6" t="inlineStr">
        <is>
          <t>PE 1100</t>
        </is>
      </c>
      <c r="E10" s="6" t="inlineStr">
        <is>
          <t>Fitness Fundamentals</t>
        </is>
      </c>
      <c r="F10" s="6" t="n">
        <v>2</v>
      </c>
      <c r="G10" s="6" t="inlineStr">
        <is>
          <t>Semester</t>
        </is>
      </c>
      <c r="H10" s="6" t="inlineStr">
        <is>
          <t>No credit</t>
        </is>
      </c>
      <c r="I10" s="6" t="inlineStr">
        <is>
          <t>TFRGEN NOCRDT</t>
        </is>
      </c>
      <c r="J10" s="6" t="n">
        <v>0</v>
      </c>
      <c r="K10" s="6" t="inlineStr">
        <is>
          <t>TX</t>
        </is>
      </c>
      <c r="L10" s="6" t="inlineStr">
        <is>
          <t>NC-PE</t>
        </is>
      </c>
      <c r="M10" s="6" t="n"/>
      <c r="N10" s="6" t="inlineStr">
        <is>
          <t>Credit Evaluation Office</t>
        </is>
      </c>
      <c r="O10" s="6" t="inlineStr">
        <is>
          <t>General education</t>
        </is>
      </c>
      <c r="P10" s="6" t="inlineStr">
        <is>
          <t>2025-03-05</t>
        </is>
      </c>
      <c r="Q10" s="6" t="inlineStr">
        <is>
          <t>2023-24</t>
        </is>
      </c>
      <c r="R10" s="6" t="inlineStr">
        <is>
          <t>Yes</t>
        </is>
      </c>
      <c r="S10" s="6" t="inlineStr">
        <is>
          <t>train</t>
        </is>
      </c>
      <c r="T10" s="6" t="inlineStr"/>
    </row>
    <row r="11">
      <c r="A11" s="6" t="inlineStr">
        <is>
          <t>D-0010</t>
        </is>
      </c>
      <c r="B11" s="6" t="inlineStr">
        <is>
          <t>NEU|FYS 1000</t>
        </is>
      </c>
      <c r="C11" s="6" t="inlineStr">
        <is>
          <t>NEU</t>
        </is>
      </c>
      <c r="D11" s="6" t="inlineStr">
        <is>
          <t>FYS 1000</t>
        </is>
      </c>
      <c r="E11" s="6" t="inlineStr">
        <is>
          <t>First-Year Seminar</t>
        </is>
      </c>
      <c r="F11" s="6" t="n">
        <v>1</v>
      </c>
      <c r="G11" s="6" t="inlineStr">
        <is>
          <t>Semester</t>
        </is>
      </c>
      <c r="H11" s="6" t="inlineStr">
        <is>
          <t>No credit</t>
        </is>
      </c>
      <c r="I11" s="6" t="inlineStr">
        <is>
          <t>TFRGEN NOCRDT</t>
        </is>
      </c>
      <c r="J11" s="6" t="n">
        <v>0</v>
      </c>
      <c r="K11" s="6" t="inlineStr">
        <is>
          <t>TX</t>
        </is>
      </c>
      <c r="L11" s="6" t="inlineStr">
        <is>
          <t>NC-ONECREDIT</t>
        </is>
      </c>
      <c r="M11" s="6" t="n"/>
      <c r="N11" s="6" t="inlineStr">
        <is>
          <t>Credit Evaluation Office</t>
        </is>
      </c>
      <c r="O11" s="6" t="inlineStr">
        <is>
          <t>General education</t>
        </is>
      </c>
      <c r="P11" s="6" t="inlineStr">
        <is>
          <t>2024-11-09</t>
        </is>
      </c>
      <c r="Q11" s="6" t="inlineStr">
        <is>
          <t>2023-24</t>
        </is>
      </c>
      <c r="R11" s="6" t="inlineStr">
        <is>
          <t>Yes</t>
        </is>
      </c>
      <c r="S11" s="6" t="inlineStr">
        <is>
          <t>train</t>
        </is>
      </c>
      <c r="T11" s="6" t="inlineStr"/>
    </row>
    <row r="12">
      <c r="A12" s="6" t="inlineStr">
        <is>
          <t>D-0011</t>
        </is>
      </c>
      <c r="B12" s="6" t="inlineStr">
        <is>
          <t>NEU|CS 1800</t>
        </is>
      </c>
      <c r="C12" s="6" t="inlineStr">
        <is>
          <t>NEU</t>
        </is>
      </c>
      <c r="D12" s="6" t="inlineStr">
        <is>
          <t>CS 1800</t>
        </is>
      </c>
      <c r="E12" s="6" t="inlineStr">
        <is>
          <t>Discrete Structures</t>
        </is>
      </c>
      <c r="F12" s="6" t="n">
        <v>4</v>
      </c>
      <c r="G12" s="6" t="inlineStr">
        <is>
          <t>Semester</t>
        </is>
      </c>
      <c r="H12" s="6" t="inlineStr">
        <is>
          <t>Equivalent</t>
        </is>
      </c>
      <c r="I12" s="6" t="inlineStr">
        <is>
          <t>CAS CS 131</t>
        </is>
      </c>
      <c r="J12" s="6" t="n">
        <v>4</v>
      </c>
      <c r="K12" s="6" t="inlineStr">
        <is>
          <t>T</t>
        </is>
      </c>
      <c r="L12" s="6" t="inlineStr">
        <is>
          <t>EQ-CONTENT</t>
        </is>
      </c>
      <c r="M12" s="6" t="n">
        <v>88</v>
      </c>
      <c r="N12" s="6" t="inlineStr">
        <is>
          <t>Evaluator CS-B</t>
        </is>
      </c>
      <c r="O12" s="6" t="inlineStr">
        <is>
          <t>Computer Science</t>
        </is>
      </c>
      <c r="P12" s="6" t="inlineStr">
        <is>
          <t>2024-10-15</t>
        </is>
      </c>
      <c r="Q12" s="6" t="inlineStr">
        <is>
          <t>2024-25</t>
        </is>
      </c>
      <c r="R12" s="6" t="inlineStr">
        <is>
          <t>Yes</t>
        </is>
      </c>
      <c r="S12" s="6" t="inlineStr">
        <is>
          <t>train</t>
        </is>
      </c>
      <c r="T12" s="6" t="inlineStr"/>
    </row>
    <row r="13">
      <c r="A13" s="6" t="inlineStr">
        <is>
          <t>D-0012</t>
        </is>
      </c>
      <c r="B13" s="6" t="inlineStr">
        <is>
          <t>NEU|CS 1990</t>
        </is>
      </c>
      <c r="C13" s="6" t="inlineStr">
        <is>
          <t>NEU</t>
        </is>
      </c>
      <c r="D13" s="6" t="inlineStr">
        <is>
          <t>CS 1990</t>
        </is>
      </c>
      <c r="E13" s="6" t="inlineStr">
        <is>
          <t>Introduction to Programming in Python</t>
        </is>
      </c>
      <c r="F13" s="6" t="n">
        <v>4</v>
      </c>
      <c r="G13" s="6" t="inlineStr">
        <is>
          <t>Semester</t>
        </is>
      </c>
      <c r="H13" s="6" t="inlineStr">
        <is>
          <t>Equivalent</t>
        </is>
      </c>
      <c r="I13" s="6" t="inlineStr">
        <is>
          <t>CAS CS 111</t>
        </is>
      </c>
      <c r="J13" s="6" t="n">
        <v>4</v>
      </c>
      <c r="K13" s="6" t="inlineStr">
        <is>
          <t>T</t>
        </is>
      </c>
      <c r="L13" s="6" t="inlineStr">
        <is>
          <t>EQ-EVALUATOR</t>
        </is>
      </c>
      <c r="M13" s="6" t="n">
        <v>75</v>
      </c>
      <c r="N13" s="6" t="inlineStr">
        <is>
          <t>Evaluator CS-A</t>
        </is>
      </c>
      <c r="O13" s="6" t="inlineStr">
        <is>
          <t>Computer Science</t>
        </is>
      </c>
      <c r="P13" s="6" t="inlineStr">
        <is>
          <t>2025-04-10</t>
        </is>
      </c>
      <c r="Q13" s="6" t="inlineStr">
        <is>
          <t>2023-24</t>
        </is>
      </c>
      <c r="R13" s="6" t="inlineStr">
        <is>
          <t>Yes</t>
        </is>
      </c>
      <c r="S13" s="6" t="inlineStr">
        <is>
          <t>train</t>
        </is>
      </c>
      <c r="T13" s="6" t="inlineStr"/>
    </row>
    <row r="14">
      <c r="A14" s="6" t="inlineStr">
        <is>
          <t>D-0013</t>
        </is>
      </c>
      <c r="B14" s="6" t="inlineStr">
        <is>
          <t>NEU|FILM 1101</t>
        </is>
      </c>
      <c r="C14" s="6" t="inlineStr">
        <is>
          <t>NEU</t>
        </is>
      </c>
      <c r="D14" s="6" t="inlineStr">
        <is>
          <t>FILM 1101</t>
        </is>
      </c>
      <c r="E14" s="6" t="inlineStr">
        <is>
          <t>Film Analysis</t>
        </is>
      </c>
      <c r="F14" s="6" t="n">
        <v>4</v>
      </c>
      <c r="G14" s="6" t="inlineStr">
        <is>
          <t>Semester</t>
        </is>
      </c>
      <c r="H14" s="6" t="inlineStr">
        <is>
          <t>Elective</t>
        </is>
      </c>
      <c r="I14" s="6" t="inlineStr">
        <is>
          <t>TFRGEN 1TR</t>
        </is>
      </c>
      <c r="J14" s="6" t="n">
        <v>4</v>
      </c>
      <c r="K14" s="6" t="inlineStr">
        <is>
          <t>T</t>
        </is>
      </c>
      <c r="L14" s="6" t="inlineStr">
        <is>
          <t>EL-NOEQUIV</t>
        </is>
      </c>
      <c r="M14" s="6" t="n"/>
      <c r="N14" s="6" t="inlineStr">
        <is>
          <t>Credit Evaluation Office</t>
        </is>
      </c>
      <c r="O14" s="6" t="inlineStr">
        <is>
          <t>General education</t>
        </is>
      </c>
      <c r="P14" s="6" t="inlineStr">
        <is>
          <t>2025-03-26</t>
        </is>
      </c>
      <c r="Q14" s="6" t="inlineStr">
        <is>
          <t>2023-24</t>
        </is>
      </c>
      <c r="R14" s="6" t="inlineStr">
        <is>
          <t>Yes</t>
        </is>
      </c>
      <c r="S14" s="6" t="inlineStr">
        <is>
          <t>train</t>
        </is>
      </c>
      <c r="T14" s="6" t="inlineStr"/>
    </row>
    <row r="15">
      <c r="A15" s="6" t="inlineStr">
        <is>
          <t>D-0014</t>
        </is>
      </c>
      <c r="B15" s="6" t="inlineStr">
        <is>
          <t>NEU|CS 3650</t>
        </is>
      </c>
      <c r="C15" s="6" t="inlineStr">
        <is>
          <t>NEU</t>
        </is>
      </c>
      <c r="D15" s="6" t="inlineStr">
        <is>
          <t>CS 3650</t>
        </is>
      </c>
      <c r="E15" s="6" t="inlineStr">
        <is>
          <t>Computer Systems</t>
        </is>
      </c>
      <c r="F15" s="6" t="n">
        <v>4</v>
      </c>
      <c r="G15" s="6" t="inlineStr">
        <is>
          <t>Semester</t>
        </is>
      </c>
      <c r="H15" s="6" t="inlineStr">
        <is>
          <t>Equivalent</t>
        </is>
      </c>
      <c r="I15" s="6" t="inlineStr">
        <is>
          <t>CAS CS 210</t>
        </is>
      </c>
      <c r="J15" s="6" t="n">
        <v>4</v>
      </c>
      <c r="K15" s="6" t="inlineStr">
        <is>
          <t>T</t>
        </is>
      </c>
      <c r="L15" s="6" t="inlineStr">
        <is>
          <t>EQ-CONTENT</t>
        </is>
      </c>
      <c r="M15" s="6" t="n">
        <v>100</v>
      </c>
      <c r="N15" s="6" t="inlineStr">
        <is>
          <t>Evaluator CS-B</t>
        </is>
      </c>
      <c r="O15" s="6" t="inlineStr">
        <is>
          <t>Computer Science</t>
        </is>
      </c>
      <c r="P15" s="6" t="inlineStr">
        <is>
          <t>2024-10-20</t>
        </is>
      </c>
      <c r="Q15" s="6" t="inlineStr">
        <is>
          <t>2024-25</t>
        </is>
      </c>
      <c r="R15" s="6" t="inlineStr">
        <is>
          <t>Yes</t>
        </is>
      </c>
      <c r="S15" s="6" t="inlineStr">
        <is>
          <t>train</t>
        </is>
      </c>
      <c r="T15" s="6" t="inlineStr"/>
    </row>
    <row r="16">
      <c r="A16" s="6" t="inlineStr">
        <is>
          <t>D-0015</t>
        </is>
      </c>
      <c r="B16" s="6" t="inlineStr">
        <is>
          <t>NEU|CS 4400</t>
        </is>
      </c>
      <c r="C16" s="6" t="inlineStr">
        <is>
          <t>NEU</t>
        </is>
      </c>
      <c r="D16" s="6" t="inlineStr">
        <is>
          <t>CS 4400</t>
        </is>
      </c>
      <c r="E16" s="6" t="inlineStr">
        <is>
          <t>Programming Languages</t>
        </is>
      </c>
      <c r="F16" s="6" t="n">
        <v>4</v>
      </c>
      <c r="G16" s="6" t="inlineStr">
        <is>
          <t>Semester</t>
        </is>
      </c>
      <c r="H16" s="6" t="inlineStr">
        <is>
          <t>Elective</t>
        </is>
      </c>
      <c r="I16" s="6" t="inlineStr">
        <is>
          <t>CAS CS 2TR</t>
        </is>
      </c>
      <c r="J16" s="6" t="n">
        <v>4</v>
      </c>
      <c r="K16" s="6" t="inlineStr">
        <is>
          <t>T</t>
        </is>
      </c>
      <c r="L16" s="6" t="inlineStr">
        <is>
          <t>EL-RESIDENCY</t>
        </is>
      </c>
      <c r="M16" s="6" t="n">
        <v>100</v>
      </c>
      <c r="N16" s="6" t="inlineStr">
        <is>
          <t>Evaluator CS-B</t>
        </is>
      </c>
      <c r="O16" s="6" t="inlineStr">
        <is>
          <t>Computer Science</t>
        </is>
      </c>
      <c r="P16" s="6" t="inlineStr">
        <is>
          <t>2024-12-14</t>
        </is>
      </c>
      <c r="Q16" s="6" t="inlineStr">
        <is>
          <t>2023-24</t>
        </is>
      </c>
      <c r="R16" s="6" t="inlineStr">
        <is>
          <t>Yes</t>
        </is>
      </c>
      <c r="S16" s="6" t="inlineStr">
        <is>
          <t>train</t>
        </is>
      </c>
      <c r="T16" s="6" t="inlineStr"/>
    </row>
    <row r="17">
      <c r="A17" s="6" t="inlineStr">
        <is>
          <t>D-0016</t>
        </is>
      </c>
      <c r="B17" s="6" t="inlineStr">
        <is>
          <t>NEU|MATH 2331</t>
        </is>
      </c>
      <c r="C17" s="6" t="inlineStr">
        <is>
          <t>NEU</t>
        </is>
      </c>
      <c r="D17" s="6" t="inlineStr">
        <is>
          <t>MATH 2331</t>
        </is>
      </c>
      <c r="E17" s="6" t="inlineStr">
        <is>
          <t>Linear Algebra</t>
        </is>
      </c>
      <c r="F17" s="6" t="n">
        <v>4</v>
      </c>
      <c r="G17" s="6" t="inlineStr">
        <is>
          <t>Semester</t>
        </is>
      </c>
      <c r="H17" s="6" t="inlineStr">
        <is>
          <t>Equivalent</t>
        </is>
      </c>
      <c r="I17" s="6" t="inlineStr">
        <is>
          <t>CAS MA 242</t>
        </is>
      </c>
      <c r="J17" s="6" t="n">
        <v>4</v>
      </c>
      <c r="K17" s="6" t="inlineStr">
        <is>
          <t>T</t>
        </is>
      </c>
      <c r="L17" s="6" t="inlineStr">
        <is>
          <t>EQ-CONTENT</t>
        </is>
      </c>
      <c r="M17" s="6" t="n">
        <v>100</v>
      </c>
      <c r="N17" s="6" t="inlineStr">
        <is>
          <t>Evaluator MA-A</t>
        </is>
      </c>
      <c r="O17" s="6" t="inlineStr">
        <is>
          <t>Mathematics</t>
        </is>
      </c>
      <c r="P17" s="6" t="inlineStr">
        <is>
          <t>2024-05-17</t>
        </is>
      </c>
      <c r="Q17" s="6" t="inlineStr">
        <is>
          <t>2023-24</t>
        </is>
      </c>
      <c r="R17" s="6" t="inlineStr">
        <is>
          <t>Yes</t>
        </is>
      </c>
      <c r="S17" s="6" t="inlineStr">
        <is>
          <t>train</t>
        </is>
      </c>
      <c r="T17" s="6" t="inlineStr"/>
    </row>
    <row r="18">
      <c r="A18" s="6" t="inlineStr">
        <is>
          <t>D-0017</t>
        </is>
      </c>
      <c r="B18" s="6" t="inlineStr">
        <is>
          <t>NEU|BIOL 1107</t>
        </is>
      </c>
      <c r="C18" s="6" t="inlineStr">
        <is>
          <t>NEU</t>
        </is>
      </c>
      <c r="D18" s="6" t="inlineStr">
        <is>
          <t>BIOL 1107</t>
        </is>
      </c>
      <c r="E18" s="6" t="inlineStr">
        <is>
          <t>Foundations of Biology</t>
        </is>
      </c>
      <c r="F18" s="6" t="n">
        <v>5</v>
      </c>
      <c r="G18" s="6" t="inlineStr">
        <is>
          <t>Semester</t>
        </is>
      </c>
      <c r="H18" s="6" t="inlineStr">
        <is>
          <t>Equivalent</t>
        </is>
      </c>
      <c r="I18" s="6" t="inlineStr">
        <is>
          <t>CAS BI 107</t>
        </is>
      </c>
      <c r="J18" s="6" t="n">
        <v>5</v>
      </c>
      <c r="K18" s="6" t="inlineStr">
        <is>
          <t>T</t>
        </is>
      </c>
      <c r="L18" s="6" t="inlineStr">
        <is>
          <t>EQ-CONTENT</t>
        </is>
      </c>
      <c r="M18" s="6" t="n">
        <v>88</v>
      </c>
      <c r="N18" s="6" t="inlineStr">
        <is>
          <t>Evaluator BI-A</t>
        </is>
      </c>
      <c r="O18" s="6" t="inlineStr">
        <is>
          <t>Biology</t>
        </is>
      </c>
      <c r="P18" s="6" t="inlineStr">
        <is>
          <t>2024-06-27</t>
        </is>
      </c>
      <c r="Q18" s="6" t="inlineStr">
        <is>
          <t>2023-24</t>
        </is>
      </c>
      <c r="R18" s="6" t="inlineStr">
        <is>
          <t>Yes</t>
        </is>
      </c>
      <c r="S18" s="6" t="inlineStr">
        <is>
          <t>train</t>
        </is>
      </c>
      <c r="T18" s="6" t="inlineStr"/>
    </row>
    <row r="19">
      <c r="A19" s="6" t="inlineStr">
        <is>
          <t>D-0018</t>
        </is>
      </c>
      <c r="B19" s="6" t="inlineStr">
        <is>
          <t>NEU|ENGW 1111</t>
        </is>
      </c>
      <c r="C19" s="6" t="inlineStr">
        <is>
          <t>NEU</t>
        </is>
      </c>
      <c r="D19" s="6" t="inlineStr">
        <is>
          <t>ENGW 1111</t>
        </is>
      </c>
      <c r="E19" s="6" t="inlineStr">
        <is>
          <t>First-Year Writing</t>
        </is>
      </c>
      <c r="F19" s="6" t="n">
        <v>4</v>
      </c>
      <c r="G19" s="6" t="inlineStr">
        <is>
          <t>Semester</t>
        </is>
      </c>
      <c r="H19" s="6" t="inlineStr">
        <is>
          <t>Elective</t>
        </is>
      </c>
      <c r="I19" s="6" t="inlineStr">
        <is>
          <t>TFRGEN 1TR</t>
        </is>
      </c>
      <c r="J19" s="6" t="n">
        <v>4</v>
      </c>
      <c r="K19" s="6" t="inlineStr">
        <is>
          <t>T</t>
        </is>
      </c>
      <c r="L19" s="6" t="inlineStr">
        <is>
          <t>EL-NOEQUIV</t>
        </is>
      </c>
      <c r="M19" s="6" t="n"/>
      <c r="N19" s="6" t="inlineStr">
        <is>
          <t>Credit Evaluation Office</t>
        </is>
      </c>
      <c r="O19" s="6" t="inlineStr">
        <is>
          <t>General education</t>
        </is>
      </c>
      <c r="P19" s="6" t="inlineStr">
        <is>
          <t>2025-09-15</t>
        </is>
      </c>
      <c r="Q19" s="6" t="inlineStr">
        <is>
          <t>2024-25</t>
        </is>
      </c>
      <c r="R19" s="6" t="inlineStr">
        <is>
          <t>Yes</t>
        </is>
      </c>
      <c r="S19" s="6" t="inlineStr">
        <is>
          <t>train</t>
        </is>
      </c>
      <c r="T19" s="6" t="inlineStr"/>
    </row>
    <row r="20">
      <c r="A20" s="6" t="inlineStr">
        <is>
          <t>D-0019</t>
        </is>
      </c>
      <c r="B20" s="6" t="inlineStr">
        <is>
          <t>NEU|BIOL 1113</t>
        </is>
      </c>
      <c r="C20" s="6" t="inlineStr">
        <is>
          <t>NEU</t>
        </is>
      </c>
      <c r="D20" s="6" t="inlineStr">
        <is>
          <t>BIOL 1113</t>
        </is>
      </c>
      <c r="E20" s="6" t="inlineStr">
        <is>
          <t>General Biology 2</t>
        </is>
      </c>
      <c r="F20" s="6" t="n">
        <v>4</v>
      </c>
      <c r="G20" s="6" t="inlineStr">
        <is>
          <t>Semester</t>
        </is>
      </c>
      <c r="H20" s="6" t="inlineStr">
        <is>
          <t>Equivalent</t>
        </is>
      </c>
      <c r="I20" s="6" t="inlineStr">
        <is>
          <t>CAS BI 108</t>
        </is>
      </c>
      <c r="J20" s="6" t="n">
        <v>4</v>
      </c>
      <c r="K20" s="6" t="inlineStr">
        <is>
          <t>T</t>
        </is>
      </c>
      <c r="L20" s="6" t="inlineStr">
        <is>
          <t>EQ-CONTENT</t>
        </is>
      </c>
      <c r="M20" s="6" t="n">
        <v>100</v>
      </c>
      <c r="N20" s="6" t="inlineStr">
        <is>
          <t>Evaluator BI-A</t>
        </is>
      </c>
      <c r="O20" s="6" t="inlineStr">
        <is>
          <t>Biology</t>
        </is>
      </c>
      <c r="P20" s="6" t="inlineStr">
        <is>
          <t>2024-01-12</t>
        </is>
      </c>
      <c r="Q20" s="6" t="inlineStr">
        <is>
          <t>2023-24</t>
        </is>
      </c>
      <c r="R20" s="6" t="inlineStr">
        <is>
          <t>Yes</t>
        </is>
      </c>
      <c r="S20" s="6" t="inlineStr">
        <is>
          <t>train</t>
        </is>
      </c>
      <c r="T20" s="6" t="inlineStr"/>
    </row>
    <row r="21">
      <c r="A21" s="6" t="inlineStr">
        <is>
          <t>D-0020</t>
        </is>
      </c>
      <c r="B21" s="6" t="inlineStr">
        <is>
          <t>NEU|BIOL 2703</t>
        </is>
      </c>
      <c r="C21" s="6" t="inlineStr">
        <is>
          <t>NEU</t>
        </is>
      </c>
      <c r="D21" s="6" t="inlineStr">
        <is>
          <t>BIOL 2703</t>
        </is>
      </c>
      <c r="E21" s="6" t="inlineStr">
        <is>
          <t>Microbiology</t>
        </is>
      </c>
      <c r="F21" s="6" t="n">
        <v>5</v>
      </c>
      <c r="G21" s="6" t="inlineStr">
        <is>
          <t>Semester</t>
        </is>
      </c>
      <c r="H21" s="6" t="inlineStr">
        <is>
          <t>Equivalent</t>
        </is>
      </c>
      <c r="I21" s="6" t="inlineStr">
        <is>
          <t>CAS BI 210</t>
        </is>
      </c>
      <c r="J21" s="6" t="n">
        <v>5</v>
      </c>
      <c r="K21" s="6" t="inlineStr">
        <is>
          <t>T</t>
        </is>
      </c>
      <c r="L21" s="6" t="inlineStr">
        <is>
          <t>EQ-CONTENT</t>
        </is>
      </c>
      <c r="M21" s="6" t="n">
        <v>88</v>
      </c>
      <c r="N21" s="6" t="inlineStr">
        <is>
          <t>Evaluator BI-A</t>
        </is>
      </c>
      <c r="O21" s="6" t="inlineStr">
        <is>
          <t>Biology</t>
        </is>
      </c>
      <c r="P21" s="6" t="inlineStr">
        <is>
          <t>2024-11-05</t>
        </is>
      </c>
      <c r="Q21" s="6" t="inlineStr">
        <is>
          <t>2024-25</t>
        </is>
      </c>
      <c r="R21" s="6" t="inlineStr">
        <is>
          <t>Yes</t>
        </is>
      </c>
      <c r="S21" s="6" t="inlineStr">
        <is>
          <t>train</t>
        </is>
      </c>
      <c r="T21" s="6" t="inlineStr"/>
    </row>
    <row r="22">
      <c r="A22" s="6" t="inlineStr">
        <is>
          <t>D-0021</t>
        </is>
      </c>
      <c r="B22" s="6" t="inlineStr">
        <is>
          <t>NEU|BIOL 2703</t>
        </is>
      </c>
      <c r="C22" s="6" t="inlineStr">
        <is>
          <t>NEU</t>
        </is>
      </c>
      <c r="D22" s="6" t="inlineStr">
        <is>
          <t>BIOL 2703</t>
        </is>
      </c>
      <c r="E22" s="6" t="inlineStr">
        <is>
          <t>Microbiology</t>
        </is>
      </c>
      <c r="F22" s="6" t="n">
        <v>5</v>
      </c>
      <c r="G22" s="6" t="inlineStr">
        <is>
          <t>Semester</t>
        </is>
      </c>
      <c r="H22" s="6" t="inlineStr">
        <is>
          <t>Elective</t>
        </is>
      </c>
      <c r="I22" s="6" t="inlineStr">
        <is>
          <t>CAS BI 2TR</t>
        </is>
      </c>
      <c r="J22" s="6" t="n">
        <v>5</v>
      </c>
      <c r="K22" s="6" t="inlineStr">
        <is>
          <t>T</t>
        </is>
      </c>
      <c r="L22" s="6" t="inlineStr">
        <is>
          <t>EL-PARTIAL</t>
        </is>
      </c>
      <c r="M22" s="6" t="n">
        <v>88</v>
      </c>
      <c r="N22" s="6" t="inlineStr">
        <is>
          <t>Evaluator BI-B</t>
        </is>
      </c>
      <c r="O22" s="6" t="inlineStr">
        <is>
          <t>Biology</t>
        </is>
      </c>
      <c r="P22" s="6" t="inlineStr">
        <is>
          <t>2025-06-02</t>
        </is>
      </c>
      <c r="Q22" s="6" t="inlineStr">
        <is>
          <t>2024-25</t>
        </is>
      </c>
      <c r="R22" s="6" t="inlineStr">
        <is>
          <t>Yes</t>
        </is>
      </c>
      <c r="S22" s="6" t="inlineStr">
        <is>
          <t>train</t>
        </is>
      </c>
      <c r="T22" s="3" t="inlineStr">
        <is>
          <t>Conflicts with an earlier decision in the same catalog year</t>
        </is>
      </c>
    </row>
    <row r="23">
      <c r="A23" s="6" t="inlineStr">
        <is>
          <t>D-0022</t>
        </is>
      </c>
      <c r="B23" s="6" t="inlineStr">
        <is>
          <t>NEU|CHEM 2313</t>
        </is>
      </c>
      <c r="C23" s="6" t="inlineStr">
        <is>
          <t>NEU</t>
        </is>
      </c>
      <c r="D23" s="6" t="inlineStr">
        <is>
          <t>CHEM 2313</t>
        </is>
      </c>
      <c r="E23" s="6" t="inlineStr">
        <is>
          <t>Organic Chemistry 2</t>
        </is>
      </c>
      <c r="F23" s="6" t="n">
        <v>5</v>
      </c>
      <c r="G23" s="6" t="inlineStr">
        <is>
          <t>Semester</t>
        </is>
      </c>
      <c r="H23" s="6" t="inlineStr">
        <is>
          <t>Equivalent</t>
        </is>
      </c>
      <c r="I23" s="6" t="inlineStr">
        <is>
          <t>CAS CH 204</t>
        </is>
      </c>
      <c r="J23" s="6" t="n">
        <v>5</v>
      </c>
      <c r="K23" s="6" t="inlineStr">
        <is>
          <t>T</t>
        </is>
      </c>
      <c r="L23" s="6" t="inlineStr">
        <is>
          <t>EQ-CONTENT</t>
        </is>
      </c>
      <c r="M23" s="6" t="n">
        <v>100</v>
      </c>
      <c r="N23" s="6" t="inlineStr">
        <is>
          <t>Evaluator BI-B</t>
        </is>
      </c>
      <c r="O23" s="6" t="inlineStr">
        <is>
          <t>Biology</t>
        </is>
      </c>
      <c r="P23" s="6" t="inlineStr">
        <is>
          <t>2025-08-10</t>
        </is>
      </c>
      <c r="Q23" s="6" t="inlineStr">
        <is>
          <t>2024-25</t>
        </is>
      </c>
      <c r="R23" s="6" t="inlineStr">
        <is>
          <t>Yes</t>
        </is>
      </c>
      <c r="S23" s="6" t="inlineStr">
        <is>
          <t>train</t>
        </is>
      </c>
      <c r="T23" s="6" t="inlineStr"/>
    </row>
    <row r="24">
      <c r="A24" s="6" t="inlineStr">
        <is>
          <t>D-0023</t>
        </is>
      </c>
      <c r="B24" s="6" t="inlineStr">
        <is>
          <t>NEU|BIOL 4990</t>
        </is>
      </c>
      <c r="C24" s="6" t="inlineStr">
        <is>
          <t>NEU</t>
        </is>
      </c>
      <c r="D24" s="6" t="inlineStr">
        <is>
          <t>BIOL 4990</t>
        </is>
      </c>
      <c r="E24" s="6" t="inlineStr">
        <is>
          <t>Directed Research in Biology</t>
        </is>
      </c>
      <c r="F24" s="6" t="n">
        <v>4</v>
      </c>
      <c r="G24" s="6" t="inlineStr">
        <is>
          <t>Semester</t>
        </is>
      </c>
      <c r="H24" s="6" t="inlineStr">
        <is>
          <t>No credit</t>
        </is>
      </c>
      <c r="I24" s="6" t="inlineStr">
        <is>
          <t>TFRGEN NOCRDT</t>
        </is>
      </c>
      <c r="J24" s="6" t="n">
        <v>0</v>
      </c>
      <c r="K24" s="6" t="inlineStr">
        <is>
          <t>TX</t>
        </is>
      </c>
      <c r="L24" s="6" t="inlineStr">
        <is>
          <t>NC-RESEARCH</t>
        </is>
      </c>
      <c r="M24" s="6" t="n"/>
      <c r="N24" s="6" t="inlineStr">
        <is>
          <t>Credit Evaluation Office</t>
        </is>
      </c>
      <c r="O24" s="6" t="inlineStr">
        <is>
          <t>Biology</t>
        </is>
      </c>
      <c r="P24" s="6" t="inlineStr">
        <is>
          <t>2024-01-23</t>
        </is>
      </c>
      <c r="Q24" s="6" t="inlineStr">
        <is>
          <t>2023-24</t>
        </is>
      </c>
      <c r="R24" s="6" t="inlineStr">
        <is>
          <t>Yes</t>
        </is>
      </c>
      <c r="S24" s="6" t="inlineStr">
        <is>
          <t>train</t>
        </is>
      </c>
      <c r="T24" s="6" t="inlineStr"/>
    </row>
    <row r="25">
      <c r="A25" s="6" t="inlineStr">
        <is>
          <t>D-0024</t>
        </is>
      </c>
      <c r="B25" s="6" t="inlineStr">
        <is>
          <t>NEU|ECON 1116</t>
        </is>
      </c>
      <c r="C25" s="6" t="inlineStr">
        <is>
          <t>NEU</t>
        </is>
      </c>
      <c r="D25" s="6" t="inlineStr">
        <is>
          <t>ECON 1116</t>
        </is>
      </c>
      <c r="E25" s="6" t="inlineStr">
        <is>
          <t>Principles of Microeconomics</t>
        </is>
      </c>
      <c r="F25" s="6" t="n">
        <v>4</v>
      </c>
      <c r="G25" s="6" t="inlineStr">
        <is>
          <t>Semester</t>
        </is>
      </c>
      <c r="H25" s="6" t="inlineStr">
        <is>
          <t>Equivalent</t>
        </is>
      </c>
      <c r="I25" s="6" t="inlineStr">
        <is>
          <t>CAS EC 101</t>
        </is>
      </c>
      <c r="J25" s="6" t="n">
        <v>4</v>
      </c>
      <c r="K25" s="6" t="inlineStr">
        <is>
          <t>T</t>
        </is>
      </c>
      <c r="L25" s="6" t="inlineStr">
        <is>
          <t>EQ-CONTENT</t>
        </is>
      </c>
      <c r="M25" s="6" t="n">
        <v>88</v>
      </c>
      <c r="N25" s="6" t="inlineStr">
        <is>
          <t>Evaluator EC-A</t>
        </is>
      </c>
      <c r="O25" s="6" t="inlineStr">
        <is>
          <t>Economics</t>
        </is>
      </c>
      <c r="P25" s="6" t="inlineStr">
        <is>
          <t>2024-01-05</t>
        </is>
      </c>
      <c r="Q25" s="6" t="inlineStr">
        <is>
          <t>2023-24</t>
        </is>
      </c>
      <c r="R25" s="6" t="inlineStr">
        <is>
          <t>Yes</t>
        </is>
      </c>
      <c r="S25" s="6" t="inlineStr">
        <is>
          <t>train</t>
        </is>
      </c>
      <c r="T25" s="6" t="inlineStr"/>
    </row>
    <row r="26">
      <c r="A26" s="6" t="inlineStr">
        <is>
          <t>D-0025</t>
        </is>
      </c>
      <c r="B26" s="6" t="inlineStr">
        <is>
          <t>NEU|MILS 1101</t>
        </is>
      </c>
      <c r="C26" s="6" t="inlineStr">
        <is>
          <t>NEU</t>
        </is>
      </c>
      <c r="D26" s="6" t="inlineStr">
        <is>
          <t>MILS 1101</t>
        </is>
      </c>
      <c r="E26" s="6" t="inlineStr">
        <is>
          <t>Military Science I (ROTC)</t>
        </is>
      </c>
      <c r="F26" s="6" t="n">
        <v>2</v>
      </c>
      <c r="G26" s="6" t="inlineStr">
        <is>
          <t>Semester</t>
        </is>
      </c>
      <c r="H26" s="6" t="inlineStr">
        <is>
          <t>No credit</t>
        </is>
      </c>
      <c r="I26" s="6" t="inlineStr">
        <is>
          <t>TFRGEN NOCRDT</t>
        </is>
      </c>
      <c r="J26" s="6" t="n">
        <v>0</v>
      </c>
      <c r="K26" s="6" t="inlineStr">
        <is>
          <t>TX</t>
        </is>
      </c>
      <c r="L26" s="6" t="inlineStr">
        <is>
          <t>NC-ROTC</t>
        </is>
      </c>
      <c r="M26" s="6" t="n"/>
      <c r="N26" s="6" t="inlineStr">
        <is>
          <t>Credit Evaluation Office</t>
        </is>
      </c>
      <c r="O26" s="6" t="inlineStr">
        <is>
          <t>Military science</t>
        </is>
      </c>
      <c r="P26" s="6" t="inlineStr">
        <is>
          <t>2024-01-20</t>
        </is>
      </c>
      <c r="Q26" s="6" t="inlineStr">
        <is>
          <t>2023-24</t>
        </is>
      </c>
      <c r="R26" s="6" t="inlineStr">
        <is>
          <t>Yes</t>
        </is>
      </c>
      <c r="S26" s="6" t="inlineStr">
        <is>
          <t>train</t>
        </is>
      </c>
      <c r="T26" s="6" t="inlineStr"/>
    </row>
    <row r="27">
      <c r="A27" s="6" t="inlineStr">
        <is>
          <t>D-0026</t>
        </is>
      </c>
      <c r="B27" s="6" t="inlineStr">
        <is>
          <t>NEU|ECON 1115</t>
        </is>
      </c>
      <c r="C27" s="6" t="inlineStr">
        <is>
          <t>NEU</t>
        </is>
      </c>
      <c r="D27" s="6" t="inlineStr">
        <is>
          <t>ECON 1115</t>
        </is>
      </c>
      <c r="E27" s="6" t="inlineStr">
        <is>
          <t>Principles of Macroeconomics</t>
        </is>
      </c>
      <c r="F27" s="6" t="n">
        <v>4</v>
      </c>
      <c r="G27" s="6" t="inlineStr">
        <is>
          <t>Semester</t>
        </is>
      </c>
      <c r="H27" s="6" t="inlineStr">
        <is>
          <t>Equivalent</t>
        </is>
      </c>
      <c r="I27" s="6" t="inlineStr">
        <is>
          <t>CAS EC 102</t>
        </is>
      </c>
      <c r="J27" s="6" t="n">
        <v>4</v>
      </c>
      <c r="K27" s="6" t="inlineStr">
        <is>
          <t>T</t>
        </is>
      </c>
      <c r="L27" s="6" t="inlineStr">
        <is>
          <t>EQ-CONTENT</t>
        </is>
      </c>
      <c r="M27" s="6" t="n">
        <v>100</v>
      </c>
      <c r="N27" s="6" t="inlineStr">
        <is>
          <t>Evaluator EC-A</t>
        </is>
      </c>
      <c r="O27" s="6" t="inlineStr">
        <is>
          <t>Economics</t>
        </is>
      </c>
      <c r="P27" s="6" t="inlineStr">
        <is>
          <t>2025-06-26</t>
        </is>
      </c>
      <c r="Q27" s="6" t="inlineStr">
        <is>
          <t>2024-25</t>
        </is>
      </c>
      <c r="R27" s="6" t="inlineStr">
        <is>
          <t>Yes</t>
        </is>
      </c>
      <c r="S27" s="6" t="inlineStr">
        <is>
          <t>train</t>
        </is>
      </c>
      <c r="T27" s="6" t="inlineStr"/>
    </row>
    <row r="28">
      <c r="A28" s="6" t="inlineStr">
        <is>
          <t>D-0027</t>
        </is>
      </c>
      <c r="B28" s="6" t="inlineStr">
        <is>
          <t>NEU|MATH 1342</t>
        </is>
      </c>
      <c r="C28" s="6" t="inlineStr">
        <is>
          <t>NEU</t>
        </is>
      </c>
      <c r="D28" s="6" t="inlineStr">
        <is>
          <t>MATH 1342</t>
        </is>
      </c>
      <c r="E28" s="6" t="inlineStr">
        <is>
          <t>Calculus 2 for Science and Engineering</t>
        </is>
      </c>
      <c r="F28" s="6" t="n">
        <v>4</v>
      </c>
      <c r="G28" s="6" t="inlineStr">
        <is>
          <t>Semester</t>
        </is>
      </c>
      <c r="H28" s="6" t="inlineStr">
        <is>
          <t>Equivalent</t>
        </is>
      </c>
      <c r="I28" s="6" t="inlineStr">
        <is>
          <t>CAS MA 124</t>
        </is>
      </c>
      <c r="J28" s="6" t="n">
        <v>4</v>
      </c>
      <c r="K28" s="6" t="inlineStr">
        <is>
          <t>T</t>
        </is>
      </c>
      <c r="L28" s="6" t="inlineStr">
        <is>
          <t>EQ-CONTENT</t>
        </is>
      </c>
      <c r="M28" s="6" t="n">
        <v>88</v>
      </c>
      <c r="N28" s="6" t="inlineStr">
        <is>
          <t>Evaluator MA-B</t>
        </is>
      </c>
      <c r="O28" s="6" t="inlineStr">
        <is>
          <t>Mathematics</t>
        </is>
      </c>
      <c r="P28" s="6" t="inlineStr">
        <is>
          <t>2025-02-05</t>
        </is>
      </c>
      <c r="Q28" s="6" t="inlineStr">
        <is>
          <t>2023-24</t>
        </is>
      </c>
      <c r="R28" s="6" t="inlineStr">
        <is>
          <t>Yes</t>
        </is>
      </c>
      <c r="S28" s="6" t="inlineStr">
        <is>
          <t>train</t>
        </is>
      </c>
      <c r="T28" s="6" t="inlineStr"/>
    </row>
    <row r="29">
      <c r="A29" s="6" t="inlineStr">
        <is>
          <t>D-0028</t>
        </is>
      </c>
      <c r="B29" s="6" t="inlineStr">
        <is>
          <t>NEU|SOCL 1101</t>
        </is>
      </c>
      <c r="C29" s="6" t="inlineStr">
        <is>
          <t>NEU</t>
        </is>
      </c>
      <c r="D29" s="6" t="inlineStr">
        <is>
          <t>SOCL 1101</t>
        </is>
      </c>
      <c r="E29" s="6" t="inlineStr">
        <is>
          <t>Introduction to Sociology</t>
        </is>
      </c>
      <c r="F29" s="6" t="n">
        <v>4</v>
      </c>
      <c r="G29" s="6" t="inlineStr">
        <is>
          <t>Semester</t>
        </is>
      </c>
      <c r="H29" s="6" t="inlineStr">
        <is>
          <t>Elective</t>
        </is>
      </c>
      <c r="I29" s="6" t="inlineStr">
        <is>
          <t>TFRGEN 1TR</t>
        </is>
      </c>
      <c r="J29" s="6" t="n">
        <v>4</v>
      </c>
      <c r="K29" s="6" t="inlineStr">
        <is>
          <t>T</t>
        </is>
      </c>
      <c r="L29" s="6" t="inlineStr">
        <is>
          <t>EL-NOEQUIV</t>
        </is>
      </c>
      <c r="M29" s="6" t="n"/>
      <c r="N29" s="6" t="inlineStr">
        <is>
          <t>Credit Evaluation Office</t>
        </is>
      </c>
      <c r="O29" s="6" t="inlineStr">
        <is>
          <t>General education</t>
        </is>
      </c>
      <c r="P29" s="6" t="inlineStr">
        <is>
          <t>2025-03-27</t>
        </is>
      </c>
      <c r="Q29" s="6" t="inlineStr">
        <is>
          <t>2024-25</t>
        </is>
      </c>
      <c r="R29" s="6" t="inlineStr">
        <is>
          <t>Yes</t>
        </is>
      </c>
      <c r="S29" s="6" t="inlineStr">
        <is>
          <t>train</t>
        </is>
      </c>
      <c r="T29" s="6" t="inlineStr"/>
    </row>
    <row r="30">
      <c r="A30" s="6" t="inlineStr">
        <is>
          <t>D-0029</t>
        </is>
      </c>
      <c r="B30" s="6" t="inlineStr">
        <is>
          <t>SOI|ECO 210</t>
        </is>
      </c>
      <c r="C30" s="6" t="inlineStr">
        <is>
          <t>SOI</t>
        </is>
      </c>
      <c r="D30" s="6" t="inlineStr">
        <is>
          <t>ECO 210</t>
        </is>
      </c>
      <c r="E30" s="6" t="inlineStr">
        <is>
          <t>Personal Finance</t>
        </is>
      </c>
      <c r="F30" s="6" t="n">
        <v>3</v>
      </c>
      <c r="G30" s="6" t="inlineStr">
        <is>
          <t>Semester</t>
        </is>
      </c>
      <c r="H30" s="6" t="inlineStr">
        <is>
          <t>No credit</t>
        </is>
      </c>
      <c r="I30" s="6" t="inlineStr">
        <is>
          <t>TFRGEN NOCRDT</t>
        </is>
      </c>
      <c r="J30" s="6" t="n">
        <v>0</v>
      </c>
      <c r="K30" s="6" t="inlineStr">
        <is>
          <t>TX</t>
        </is>
      </c>
      <c r="L30" s="6" t="inlineStr">
        <is>
          <t>NC-ACCRED</t>
        </is>
      </c>
      <c r="M30" s="6" t="n"/>
      <c r="N30" s="6" t="inlineStr">
        <is>
          <t>Evaluator EC-A</t>
        </is>
      </c>
      <c r="O30" s="6" t="inlineStr">
        <is>
          <t>Economics</t>
        </is>
      </c>
      <c r="P30" s="6" t="inlineStr">
        <is>
          <t>2024-12-09</t>
        </is>
      </c>
      <c r="Q30" s="6" t="inlineStr">
        <is>
          <t>2024-25</t>
        </is>
      </c>
      <c r="R30" s="6" t="inlineStr">
        <is>
          <t>Yes</t>
        </is>
      </c>
      <c r="S30" s="6" t="inlineStr">
        <is>
          <t>train</t>
        </is>
      </c>
      <c r="T30" s="6" t="inlineStr"/>
    </row>
    <row r="31">
      <c r="A31" s="6" t="inlineStr">
        <is>
          <t>D-0030</t>
        </is>
      </c>
      <c r="B31" s="6" t="inlineStr">
        <is>
          <t>SOI|BUS 101</t>
        </is>
      </c>
      <c r="C31" s="6" t="inlineStr">
        <is>
          <t>SOI</t>
        </is>
      </c>
      <c r="D31" s="6" t="inlineStr">
        <is>
          <t>BUS 101</t>
        </is>
      </c>
      <c r="E31" s="6" t="inlineStr">
        <is>
          <t>Introduction to Business</t>
        </is>
      </c>
      <c r="F31" s="6" t="n">
        <v>3</v>
      </c>
      <c r="G31" s="6" t="inlineStr">
        <is>
          <t>Semester</t>
        </is>
      </c>
      <c r="H31" s="6" t="inlineStr">
        <is>
          <t>No credit</t>
        </is>
      </c>
      <c r="I31" s="6" t="inlineStr">
        <is>
          <t>TFRGEN NOCRDT</t>
        </is>
      </c>
      <c r="J31" s="6" t="n">
        <v>0</v>
      </c>
      <c r="K31" s="6" t="inlineStr">
        <is>
          <t>TX</t>
        </is>
      </c>
      <c r="L31" s="6" t="inlineStr">
        <is>
          <t>NC-ACCRED</t>
        </is>
      </c>
      <c r="M31" s="6" t="n"/>
      <c r="N31" s="6" t="inlineStr">
        <is>
          <t>Credit Evaluation Office</t>
        </is>
      </c>
      <c r="O31" s="6" t="inlineStr">
        <is>
          <t>General education</t>
        </is>
      </c>
      <c r="P31" s="6" t="inlineStr">
        <is>
          <t>2024-02-13</t>
        </is>
      </c>
      <c r="Q31" s="6" t="inlineStr">
        <is>
          <t>2023-24</t>
        </is>
      </c>
      <c r="R31" s="6" t="inlineStr">
        <is>
          <t>Yes</t>
        </is>
      </c>
      <c r="S31" s="6" t="inlineStr">
        <is>
          <t>train</t>
        </is>
      </c>
      <c r="T31" s="6" t="inlineStr"/>
    </row>
    <row r="32">
      <c r="A32" s="6" t="inlineStr">
        <is>
          <t>D-0031</t>
        </is>
      </c>
      <c r="B32" s="6" t="inlineStr">
        <is>
          <t>NYU|COMM-UA 10</t>
        </is>
      </c>
      <c r="C32" s="6" t="inlineStr">
        <is>
          <t>NYU</t>
        </is>
      </c>
      <c r="D32" s="6" t="inlineStr">
        <is>
          <t>COMM-UA 10</t>
        </is>
      </c>
      <c r="E32" s="6" t="inlineStr">
        <is>
          <t>Public Speaking</t>
        </is>
      </c>
      <c r="F32" s="6" t="n">
        <v>4</v>
      </c>
      <c r="G32" s="6" t="inlineStr">
        <is>
          <t>Semester</t>
        </is>
      </c>
      <c r="H32" s="6" t="inlineStr">
        <is>
          <t>Elective</t>
        </is>
      </c>
      <c r="I32" s="6" t="inlineStr">
        <is>
          <t>TFRGEN 1TR</t>
        </is>
      </c>
      <c r="J32" s="6" t="n">
        <v>4</v>
      </c>
      <c r="K32" s="6" t="inlineStr">
        <is>
          <t>T</t>
        </is>
      </c>
      <c r="L32" s="6" t="inlineStr">
        <is>
          <t>EL-NOEQUIV</t>
        </is>
      </c>
      <c r="M32" s="6" t="n"/>
      <c r="N32" s="6" t="inlineStr">
        <is>
          <t>Credit Evaluation Office</t>
        </is>
      </c>
      <c r="O32" s="6" t="inlineStr">
        <is>
          <t>General education</t>
        </is>
      </c>
      <c r="P32" s="6" t="inlineStr">
        <is>
          <t>2025-05-28</t>
        </is>
      </c>
      <c r="Q32" s="6" t="inlineStr">
        <is>
          <t>2023-24</t>
        </is>
      </c>
      <c r="R32" s="6" t="inlineStr">
        <is>
          <t>Yes</t>
        </is>
      </c>
      <c r="S32" s="6" t="inlineStr">
        <is>
          <t>train</t>
        </is>
      </c>
      <c r="T32" s="6" t="inlineStr"/>
    </row>
    <row r="33">
      <c r="A33" s="6" t="inlineStr">
        <is>
          <t>D-0032</t>
        </is>
      </c>
      <c r="B33" s="6" t="inlineStr">
        <is>
          <t>NYU|ART-UA 5</t>
        </is>
      </c>
      <c r="C33" s="6" t="inlineStr">
        <is>
          <t>NYU</t>
        </is>
      </c>
      <c r="D33" s="6" t="inlineStr">
        <is>
          <t>ART-UA 5</t>
        </is>
      </c>
      <c r="E33" s="6" t="inlineStr">
        <is>
          <t>Art Appreciation</t>
        </is>
      </c>
      <c r="F33" s="6" t="n">
        <v>4</v>
      </c>
      <c r="G33" s="6" t="inlineStr">
        <is>
          <t>Semester</t>
        </is>
      </c>
      <c r="H33" s="6" t="inlineStr">
        <is>
          <t>Elective</t>
        </is>
      </c>
      <c r="I33" s="6" t="inlineStr">
        <is>
          <t>TFRGEN 1TR</t>
        </is>
      </c>
      <c r="J33" s="6" t="n">
        <v>4</v>
      </c>
      <c r="K33" s="6" t="inlineStr">
        <is>
          <t>T</t>
        </is>
      </c>
      <c r="L33" s="6" t="inlineStr">
        <is>
          <t>EL-NOEQUIV</t>
        </is>
      </c>
      <c r="M33" s="6" t="n"/>
      <c r="N33" s="6" t="inlineStr">
        <is>
          <t>Credit Evaluation Office</t>
        </is>
      </c>
      <c r="O33" s="6" t="inlineStr">
        <is>
          <t>General education</t>
        </is>
      </c>
      <c r="P33" s="6" t="inlineStr">
        <is>
          <t>2025-07-26</t>
        </is>
      </c>
      <c r="Q33" s="6" t="inlineStr">
        <is>
          <t>2023-24</t>
        </is>
      </c>
      <c r="R33" s="6" t="inlineStr">
        <is>
          <t>Yes</t>
        </is>
      </c>
      <c r="S33" s="6" t="inlineStr">
        <is>
          <t>train</t>
        </is>
      </c>
      <c r="T33" s="6" t="inlineStr"/>
    </row>
    <row r="34">
      <c r="A34" s="6" t="inlineStr">
        <is>
          <t>D-0033</t>
        </is>
      </c>
      <c r="B34" s="6" t="inlineStr">
        <is>
          <t>NYU|SPAN-UA 1</t>
        </is>
      </c>
      <c r="C34" s="6" t="inlineStr">
        <is>
          <t>NYU</t>
        </is>
      </c>
      <c r="D34" s="6" t="inlineStr">
        <is>
          <t>SPAN-UA 1</t>
        </is>
      </c>
      <c r="E34" s="6" t="inlineStr">
        <is>
          <t>Elementary Spanish I</t>
        </is>
      </c>
      <c r="F34" s="6" t="n">
        <v>4</v>
      </c>
      <c r="G34" s="6" t="inlineStr">
        <is>
          <t>Semester</t>
        </is>
      </c>
      <c r="H34" s="6" t="inlineStr">
        <is>
          <t>Elective</t>
        </is>
      </c>
      <c r="I34" s="6" t="inlineStr">
        <is>
          <t>TFRGEN 1TR</t>
        </is>
      </c>
      <c r="J34" s="6" t="n">
        <v>4</v>
      </c>
      <c r="K34" s="6" t="inlineStr">
        <is>
          <t>T</t>
        </is>
      </c>
      <c r="L34" s="6" t="inlineStr">
        <is>
          <t>EL-NOEQUIV</t>
        </is>
      </c>
      <c r="M34" s="6" t="n"/>
      <c r="N34" s="6" t="inlineStr">
        <is>
          <t>Credit Evaluation Office</t>
        </is>
      </c>
      <c r="O34" s="6" t="inlineStr">
        <is>
          <t>General education</t>
        </is>
      </c>
      <c r="P34" s="6" t="inlineStr">
        <is>
          <t>2024-03-03</t>
        </is>
      </c>
      <c r="Q34" s="6" t="inlineStr">
        <is>
          <t>2023-24</t>
        </is>
      </c>
      <c r="R34" s="6" t="inlineStr">
        <is>
          <t>Yes</t>
        </is>
      </c>
      <c r="S34" s="6" t="inlineStr">
        <is>
          <t>train</t>
        </is>
      </c>
      <c r="T34" s="6" t="inlineStr"/>
    </row>
    <row r="35">
      <c r="A35" s="6" t="inlineStr">
        <is>
          <t>D-0034</t>
        </is>
      </c>
      <c r="B35" s="6" t="inlineStr">
        <is>
          <t>NYU|ECON-UA 10</t>
        </is>
      </c>
      <c r="C35" s="6" t="inlineStr">
        <is>
          <t>NYU</t>
        </is>
      </c>
      <c r="D35" s="6" t="inlineStr">
        <is>
          <t>ECON-UA 10</t>
        </is>
      </c>
      <c r="E35" s="6" t="inlineStr">
        <is>
          <t>Intermediate Microeconomics</t>
        </is>
      </c>
      <c r="F35" s="6" t="n">
        <v>4</v>
      </c>
      <c r="G35" s="6" t="inlineStr">
        <is>
          <t>Semester</t>
        </is>
      </c>
      <c r="H35" s="6" t="inlineStr">
        <is>
          <t>Equivalent</t>
        </is>
      </c>
      <c r="I35" s="6" t="inlineStr">
        <is>
          <t>CAS EC 201</t>
        </is>
      </c>
      <c r="J35" s="6" t="n">
        <v>4</v>
      </c>
      <c r="K35" s="6" t="inlineStr">
        <is>
          <t>T</t>
        </is>
      </c>
      <c r="L35" s="6" t="inlineStr">
        <is>
          <t>EQ-CONTENT</t>
        </is>
      </c>
      <c r="M35" s="6" t="n">
        <v>88</v>
      </c>
      <c r="N35" s="6" t="inlineStr">
        <is>
          <t>Evaluator EC-A</t>
        </is>
      </c>
      <c r="O35" s="6" t="inlineStr">
        <is>
          <t>Economics</t>
        </is>
      </c>
      <c r="P35" s="6" t="inlineStr">
        <is>
          <t>2025-07-14</t>
        </is>
      </c>
      <c r="Q35" s="6" t="inlineStr">
        <is>
          <t>2023-24</t>
        </is>
      </c>
      <c r="R35" s="6" t="inlineStr">
        <is>
          <t>Yes</t>
        </is>
      </c>
      <c r="S35" s="6" t="inlineStr">
        <is>
          <t>train</t>
        </is>
      </c>
      <c r="T35" s="6" t="inlineStr"/>
    </row>
    <row r="36">
      <c r="A36" s="6" t="inlineStr">
        <is>
          <t>D-0035</t>
        </is>
      </c>
      <c r="B36" s="6" t="inlineStr">
        <is>
          <t>NYU|PHIL-UA 3</t>
        </is>
      </c>
      <c r="C36" s="6" t="inlineStr">
        <is>
          <t>NYU</t>
        </is>
      </c>
      <c r="D36" s="6" t="inlineStr">
        <is>
          <t>PHIL-UA 3</t>
        </is>
      </c>
      <c r="E36" s="6" t="inlineStr">
        <is>
          <t>Introduction to Ethics</t>
        </is>
      </c>
      <c r="F36" s="6" t="n">
        <v>4</v>
      </c>
      <c r="G36" s="6" t="inlineStr">
        <is>
          <t>Semester</t>
        </is>
      </c>
      <c r="H36" s="6" t="inlineStr">
        <is>
          <t>Elective</t>
        </is>
      </c>
      <c r="I36" s="6" t="inlineStr">
        <is>
          <t>TFRGEN 1TR</t>
        </is>
      </c>
      <c r="J36" s="6" t="n">
        <v>4</v>
      </c>
      <c r="K36" s="6" t="inlineStr">
        <is>
          <t>T</t>
        </is>
      </c>
      <c r="L36" s="6" t="inlineStr">
        <is>
          <t>EL-NOEQUIV</t>
        </is>
      </c>
      <c r="M36" s="6" t="n"/>
      <c r="N36" s="6" t="inlineStr">
        <is>
          <t>Credit Evaluation Office</t>
        </is>
      </c>
      <c r="O36" s="6" t="inlineStr">
        <is>
          <t>General education</t>
        </is>
      </c>
      <c r="P36" s="6" t="inlineStr">
        <is>
          <t>2024-11-11</t>
        </is>
      </c>
      <c r="Q36" s="6" t="inlineStr">
        <is>
          <t>2024-25</t>
        </is>
      </c>
      <c r="R36" s="6" t="inlineStr">
        <is>
          <t>Yes</t>
        </is>
      </c>
      <c r="S36" s="6" t="inlineStr">
        <is>
          <t>train</t>
        </is>
      </c>
      <c r="T36" s="6" t="inlineStr"/>
    </row>
    <row r="37">
      <c r="A37" s="6" t="inlineStr">
        <is>
          <t>D-0036</t>
        </is>
      </c>
      <c r="B37" s="6" t="inlineStr">
        <is>
          <t>NYU|ECON-UA 12</t>
        </is>
      </c>
      <c r="C37" s="6" t="inlineStr">
        <is>
          <t>NYU</t>
        </is>
      </c>
      <c r="D37" s="6" t="inlineStr">
        <is>
          <t>ECON-UA 12</t>
        </is>
      </c>
      <c r="E37" s="6" t="inlineStr">
        <is>
          <t>Intermediate Macroeconomics</t>
        </is>
      </c>
      <c r="F37" s="6" t="n">
        <v>4</v>
      </c>
      <c r="G37" s="6" t="inlineStr">
        <is>
          <t>Semester</t>
        </is>
      </c>
      <c r="H37" s="6" t="inlineStr">
        <is>
          <t>Equivalent</t>
        </is>
      </c>
      <c r="I37" s="6" t="inlineStr">
        <is>
          <t>CAS EC 202</t>
        </is>
      </c>
      <c r="J37" s="6" t="n">
        <v>4</v>
      </c>
      <c r="K37" s="6" t="inlineStr">
        <is>
          <t>T</t>
        </is>
      </c>
      <c r="L37" s="6" t="inlineStr">
        <is>
          <t>EQ-CONTENT</t>
        </is>
      </c>
      <c r="M37" s="6" t="n">
        <v>100</v>
      </c>
      <c r="N37" s="6" t="inlineStr">
        <is>
          <t>Evaluator EC-A</t>
        </is>
      </c>
      <c r="O37" s="6" t="inlineStr">
        <is>
          <t>Economics</t>
        </is>
      </c>
      <c r="P37" s="6" t="inlineStr">
        <is>
          <t>2024-09-05</t>
        </is>
      </c>
      <c r="Q37" s="6" t="inlineStr">
        <is>
          <t>2024-25</t>
        </is>
      </c>
      <c r="R37" s="6" t="inlineStr">
        <is>
          <t>Yes</t>
        </is>
      </c>
      <c r="S37" s="6" t="inlineStr">
        <is>
          <t>train</t>
        </is>
      </c>
      <c r="T37" s="6" t="inlineStr"/>
    </row>
    <row r="38">
      <c r="A38" s="6" t="inlineStr">
        <is>
          <t>D-0037</t>
        </is>
      </c>
      <c r="B38" s="6" t="inlineStr">
        <is>
          <t>NYU|ECON-UA 18</t>
        </is>
      </c>
      <c r="C38" s="6" t="inlineStr">
        <is>
          <t>NYU</t>
        </is>
      </c>
      <c r="D38" s="6" t="inlineStr">
        <is>
          <t>ECON-UA 18</t>
        </is>
      </c>
      <c r="E38" s="6" t="inlineStr">
        <is>
          <t>Statistics</t>
        </is>
      </c>
      <c r="F38" s="6" t="n">
        <v>4</v>
      </c>
      <c r="G38" s="6" t="inlineStr">
        <is>
          <t>Semester</t>
        </is>
      </c>
      <c r="H38" s="6" t="inlineStr">
        <is>
          <t>Elective</t>
        </is>
      </c>
      <c r="I38" s="6" t="inlineStr">
        <is>
          <t>CAS EC 2TR</t>
        </is>
      </c>
      <c r="J38" s="6" t="n">
        <v>4</v>
      </c>
      <c r="K38" s="6" t="inlineStr">
        <is>
          <t>T</t>
        </is>
      </c>
      <c r="L38" s="6" t="inlineStr">
        <is>
          <t>EL-PARTIAL</t>
        </is>
      </c>
      <c r="M38" s="6" t="n">
        <v>100</v>
      </c>
      <c r="N38" s="6" t="inlineStr">
        <is>
          <t>Evaluator EC-A</t>
        </is>
      </c>
      <c r="O38" s="6" t="inlineStr">
        <is>
          <t>Economics</t>
        </is>
      </c>
      <c r="P38" s="6" t="inlineStr">
        <is>
          <t>2023-03-14</t>
        </is>
      </c>
      <c r="Q38" s="6" t="inlineStr">
        <is>
          <t>2022-23</t>
        </is>
      </c>
      <c r="R38" s="6" t="inlineStr">
        <is>
          <t>Yes</t>
        </is>
      </c>
      <c r="S38" s="6" t="inlineStr">
        <is>
          <t>train</t>
        </is>
      </c>
      <c r="T38" s="6" t="inlineStr">
        <is>
          <t>Older decision; superseded</t>
        </is>
      </c>
    </row>
    <row r="39">
      <c r="A39" s="6" t="inlineStr">
        <is>
          <t>D-0038</t>
        </is>
      </c>
      <c r="B39" s="6" t="inlineStr">
        <is>
          <t>NYU|ECON-UA 18</t>
        </is>
      </c>
      <c r="C39" s="6" t="inlineStr">
        <is>
          <t>NYU</t>
        </is>
      </c>
      <c r="D39" s="6" t="inlineStr">
        <is>
          <t>ECON-UA 18</t>
        </is>
      </c>
      <c r="E39" s="6" t="inlineStr">
        <is>
          <t>Statistics</t>
        </is>
      </c>
      <c r="F39" s="6" t="n">
        <v>4</v>
      </c>
      <c r="G39" s="6" t="inlineStr">
        <is>
          <t>Semester</t>
        </is>
      </c>
      <c r="H39" s="6" t="inlineStr">
        <is>
          <t>Equivalent</t>
        </is>
      </c>
      <c r="I39" s="6" t="inlineStr">
        <is>
          <t>CAS EC 203</t>
        </is>
      </c>
      <c r="J39" s="6" t="n">
        <v>4</v>
      </c>
      <c r="K39" s="6" t="inlineStr">
        <is>
          <t>T</t>
        </is>
      </c>
      <c r="L39" s="6" t="inlineStr">
        <is>
          <t>EQ-EVALUATOR</t>
        </is>
      </c>
      <c r="M39" s="6" t="n">
        <v>100</v>
      </c>
      <c r="N39" s="6" t="inlineStr">
        <is>
          <t>Evaluator EC-B</t>
        </is>
      </c>
      <c r="O39" s="6" t="inlineStr">
        <is>
          <t>Economics</t>
        </is>
      </c>
      <c r="P39" s="6" t="inlineStr">
        <is>
          <t>2025-02-10</t>
        </is>
      </c>
      <c r="Q39" s="6" t="inlineStr">
        <is>
          <t>2024-25</t>
        </is>
      </c>
      <c r="R39" s="6" t="inlineStr">
        <is>
          <t>Yes</t>
        </is>
      </c>
      <c r="S39" s="6" t="inlineStr">
        <is>
          <t>train</t>
        </is>
      </c>
      <c r="T39" s="6" t="inlineStr">
        <is>
          <t>Newer decision for later catalog year</t>
        </is>
      </c>
    </row>
    <row r="40">
      <c r="A40" s="6" t="inlineStr">
        <is>
          <t>D-0039</t>
        </is>
      </c>
      <c r="B40" s="6" t="inlineStr">
        <is>
          <t>NYU|MATH-UA 140</t>
        </is>
      </c>
      <c r="C40" s="6" t="inlineStr">
        <is>
          <t>NYU</t>
        </is>
      </c>
      <c r="D40" s="6" t="inlineStr">
        <is>
          <t>MATH-UA 140</t>
        </is>
      </c>
      <c r="E40" s="6" t="inlineStr">
        <is>
          <t>Linear Algebra</t>
        </is>
      </c>
      <c r="F40" s="6" t="n">
        <v>4</v>
      </c>
      <c r="G40" s="6" t="inlineStr">
        <is>
          <t>Semester</t>
        </is>
      </c>
      <c r="H40" s="6" t="inlineStr">
        <is>
          <t>Equivalent</t>
        </is>
      </c>
      <c r="I40" s="6" t="inlineStr">
        <is>
          <t>CAS MA 242</t>
        </is>
      </c>
      <c r="J40" s="6" t="n">
        <v>4</v>
      </c>
      <c r="K40" s="6" t="inlineStr">
        <is>
          <t>T</t>
        </is>
      </c>
      <c r="L40" s="6" t="inlineStr">
        <is>
          <t>EQ-CONTENT</t>
        </is>
      </c>
      <c r="M40" s="6" t="n">
        <v>100</v>
      </c>
      <c r="N40" s="6" t="inlineStr">
        <is>
          <t>Evaluator MA-A</t>
        </is>
      </c>
      <c r="O40" s="6" t="inlineStr">
        <is>
          <t>Mathematics</t>
        </is>
      </c>
      <c r="P40" s="6" t="inlineStr">
        <is>
          <t>2024-05-14</t>
        </is>
      </c>
      <c r="Q40" s="6" t="inlineStr">
        <is>
          <t>2024-25</t>
        </is>
      </c>
      <c r="R40" s="6" t="inlineStr">
        <is>
          <t>Yes</t>
        </is>
      </c>
      <c r="S40" s="6" t="inlineStr">
        <is>
          <t>train</t>
        </is>
      </c>
      <c r="T40" s="6" t="inlineStr"/>
    </row>
    <row r="41">
      <c r="A41" s="6" t="inlineStr">
        <is>
          <t>D-0040</t>
        </is>
      </c>
      <c r="B41" s="6" t="inlineStr">
        <is>
          <t>NYU|ECON-UA 163</t>
        </is>
      </c>
      <c r="C41" s="6" t="inlineStr">
        <is>
          <t>NYU</t>
        </is>
      </c>
      <c r="D41" s="6" t="inlineStr">
        <is>
          <t>ECON-UA 163</t>
        </is>
      </c>
      <c r="E41" s="6" t="inlineStr">
        <is>
          <t>Money and Banking</t>
        </is>
      </c>
      <c r="F41" s="6" t="n">
        <v>4</v>
      </c>
      <c r="G41" s="6" t="inlineStr">
        <is>
          <t>Semester</t>
        </is>
      </c>
      <c r="H41" s="6" t="inlineStr">
        <is>
          <t>Equivalent</t>
        </is>
      </c>
      <c r="I41" s="6" t="inlineStr">
        <is>
          <t>CAS EC 220</t>
        </is>
      </c>
      <c r="J41" s="6" t="n">
        <v>4</v>
      </c>
      <c r="K41" s="6" t="inlineStr">
        <is>
          <t>T</t>
        </is>
      </c>
      <c r="L41" s="6" t="inlineStr">
        <is>
          <t>EQ-CONTENT</t>
        </is>
      </c>
      <c r="M41" s="6" t="n">
        <v>100</v>
      </c>
      <c r="N41" s="6" t="inlineStr">
        <is>
          <t>Evaluator EC-B</t>
        </is>
      </c>
      <c r="O41" s="6" t="inlineStr">
        <is>
          <t>Economics</t>
        </is>
      </c>
      <c r="P41" s="6" t="inlineStr">
        <is>
          <t>2025-02-05</t>
        </is>
      </c>
      <c r="Q41" s="6" t="inlineStr">
        <is>
          <t>2024-25</t>
        </is>
      </c>
      <c r="R41" s="6" t="inlineStr">
        <is>
          <t>Yes</t>
        </is>
      </c>
      <c r="S41" s="6" t="inlineStr">
        <is>
          <t>train</t>
        </is>
      </c>
      <c r="T41" s="6" t="inlineStr"/>
    </row>
    <row r="42">
      <c r="A42" s="6" t="inlineStr">
        <is>
          <t>D-0041</t>
        </is>
      </c>
      <c r="B42" s="6" t="inlineStr">
        <is>
          <t>NYU|ECON-UA 166</t>
        </is>
      </c>
      <c r="C42" s="6" t="inlineStr">
        <is>
          <t>NYU</t>
        </is>
      </c>
      <c r="D42" s="6" t="inlineStr">
        <is>
          <t>ECON-UA 166</t>
        </is>
      </c>
      <c r="E42" s="6" t="inlineStr">
        <is>
          <t>International Trade</t>
        </is>
      </c>
      <c r="F42" s="6" t="n">
        <v>4</v>
      </c>
      <c r="G42" s="6" t="inlineStr">
        <is>
          <t>Semester</t>
        </is>
      </c>
      <c r="H42" s="6" t="inlineStr">
        <is>
          <t>Equivalent</t>
        </is>
      </c>
      <c r="I42" s="6" t="inlineStr">
        <is>
          <t>CAS EC 250</t>
        </is>
      </c>
      <c r="J42" s="6" t="n">
        <v>4</v>
      </c>
      <c r="K42" s="6" t="inlineStr">
        <is>
          <t>T</t>
        </is>
      </c>
      <c r="L42" s="6" t="inlineStr">
        <is>
          <t>EQ-CONTENT</t>
        </is>
      </c>
      <c r="M42" s="6" t="n">
        <v>88</v>
      </c>
      <c r="N42" s="6" t="inlineStr">
        <is>
          <t>Evaluator EC-B</t>
        </is>
      </c>
      <c r="O42" s="6" t="inlineStr">
        <is>
          <t>Economics</t>
        </is>
      </c>
      <c r="P42" s="6" t="inlineStr">
        <is>
          <t>2024-05-19</t>
        </is>
      </c>
      <c r="Q42" s="6" t="inlineStr">
        <is>
          <t>2023-24</t>
        </is>
      </c>
      <c r="R42" s="6" t="inlineStr">
        <is>
          <t>Yes</t>
        </is>
      </c>
      <c r="S42" s="6" t="inlineStr">
        <is>
          <t>train</t>
        </is>
      </c>
      <c r="T42" s="6" t="inlineStr"/>
    </row>
    <row r="43">
      <c r="A43" s="6" t="inlineStr">
        <is>
          <t>D-0042</t>
        </is>
      </c>
      <c r="B43" s="6" t="inlineStr">
        <is>
          <t>NYU|ECON-UA 980</t>
        </is>
      </c>
      <c r="C43" s="6" t="inlineStr">
        <is>
          <t>NYU</t>
        </is>
      </c>
      <c r="D43" s="6" t="inlineStr">
        <is>
          <t>ECON-UA 980</t>
        </is>
      </c>
      <c r="E43" s="6" t="inlineStr">
        <is>
          <t>Economics Internship</t>
        </is>
      </c>
      <c r="F43" s="6" t="n">
        <v>4</v>
      </c>
      <c r="G43" s="6" t="inlineStr">
        <is>
          <t>Semester</t>
        </is>
      </c>
      <c r="H43" s="6" t="inlineStr">
        <is>
          <t>No credit</t>
        </is>
      </c>
      <c r="I43" s="6" t="inlineStr">
        <is>
          <t>TFRGEN NOCRDT</t>
        </is>
      </c>
      <c r="J43" s="6" t="n">
        <v>0</v>
      </c>
      <c r="K43" s="6" t="inlineStr">
        <is>
          <t>TX</t>
        </is>
      </c>
      <c r="L43" s="6" t="inlineStr">
        <is>
          <t>NC-INTERNSHIP</t>
        </is>
      </c>
      <c r="M43" s="6" t="n"/>
      <c r="N43" s="6" t="inlineStr">
        <is>
          <t>Credit Evaluation Office</t>
        </is>
      </c>
      <c r="O43" s="6" t="inlineStr">
        <is>
          <t>Economics</t>
        </is>
      </c>
      <c r="P43" s="6" t="inlineStr">
        <is>
          <t>2024-11-21</t>
        </is>
      </c>
      <c r="Q43" s="6" t="inlineStr">
        <is>
          <t>2023-24</t>
        </is>
      </c>
      <c r="R43" s="6" t="inlineStr">
        <is>
          <t>Yes</t>
        </is>
      </c>
      <c r="S43" s="6" t="inlineStr">
        <is>
          <t>train</t>
        </is>
      </c>
      <c r="T43" s="6" t="inlineStr"/>
    </row>
    <row r="44">
      <c r="A44" s="6" t="inlineStr">
        <is>
          <t>D-0043</t>
        </is>
      </c>
      <c r="B44" s="6" t="inlineStr">
        <is>
          <t>NYU|WRIT-UA 5</t>
        </is>
      </c>
      <c r="C44" s="6" t="inlineStr">
        <is>
          <t>NYU</t>
        </is>
      </c>
      <c r="D44" s="6" t="inlineStr">
        <is>
          <t>WRIT-UA 5</t>
        </is>
      </c>
      <c r="E44" s="6" t="inlineStr">
        <is>
          <t>Writing Workshop</t>
        </is>
      </c>
      <c r="F44" s="6" t="n">
        <v>4</v>
      </c>
      <c r="G44" s="6" t="inlineStr">
        <is>
          <t>Semester</t>
        </is>
      </c>
      <c r="H44" s="6" t="inlineStr">
        <is>
          <t>Elective</t>
        </is>
      </c>
      <c r="I44" s="6" t="inlineStr">
        <is>
          <t>TFRGEN 1TR</t>
        </is>
      </c>
      <c r="J44" s="6" t="n">
        <v>4</v>
      </c>
      <c r="K44" s="6" t="inlineStr">
        <is>
          <t>T</t>
        </is>
      </c>
      <c r="L44" s="6" t="inlineStr">
        <is>
          <t>EL-NOEQUIV</t>
        </is>
      </c>
      <c r="M44" s="6" t="n"/>
      <c r="N44" s="6" t="inlineStr">
        <is>
          <t>Credit Evaluation Office</t>
        </is>
      </c>
      <c r="O44" s="6" t="inlineStr">
        <is>
          <t>General education</t>
        </is>
      </c>
      <c r="P44" s="6" t="inlineStr">
        <is>
          <t>2025-12-23</t>
        </is>
      </c>
      <c r="Q44" s="6" t="inlineStr">
        <is>
          <t>2024-25</t>
        </is>
      </c>
      <c r="R44" s="6" t="inlineStr">
        <is>
          <t>Yes</t>
        </is>
      </c>
      <c r="S44" s="6" t="inlineStr">
        <is>
          <t>train</t>
        </is>
      </c>
      <c r="T44" s="6" t="inlineStr"/>
    </row>
    <row r="45">
      <c r="A45" s="6" t="inlineStr">
        <is>
          <t>D-0044</t>
        </is>
      </c>
      <c r="B45" s="6" t="inlineStr">
        <is>
          <t>NYU|HIST-UA 10</t>
        </is>
      </c>
      <c r="C45" s="6" t="inlineStr">
        <is>
          <t>NYU</t>
        </is>
      </c>
      <c r="D45" s="6" t="inlineStr">
        <is>
          <t>HIST-UA 10</t>
        </is>
      </c>
      <c r="E45" s="6" t="inlineStr">
        <is>
          <t>Modern World History</t>
        </is>
      </c>
      <c r="F45" s="6" t="n">
        <v>4</v>
      </c>
      <c r="G45" s="6" t="inlineStr">
        <is>
          <t>Semester</t>
        </is>
      </c>
      <c r="H45" s="6" t="inlineStr">
        <is>
          <t>Elective</t>
        </is>
      </c>
      <c r="I45" s="6" t="inlineStr">
        <is>
          <t>TFRGEN 1TR</t>
        </is>
      </c>
      <c r="J45" s="6" t="n">
        <v>4</v>
      </c>
      <c r="K45" s="6" t="inlineStr">
        <is>
          <t>T</t>
        </is>
      </c>
      <c r="L45" s="6" t="inlineStr">
        <is>
          <t>EL-NOEQUIV</t>
        </is>
      </c>
      <c r="M45" s="6" t="n"/>
      <c r="N45" s="6" t="inlineStr">
        <is>
          <t>Credit Evaluation Office</t>
        </is>
      </c>
      <c r="O45" s="6" t="inlineStr">
        <is>
          <t>General education</t>
        </is>
      </c>
      <c r="P45" s="6" t="inlineStr">
        <is>
          <t>2024-04-06</t>
        </is>
      </c>
      <c r="Q45" s="6" t="inlineStr">
        <is>
          <t>2024-25</t>
        </is>
      </c>
      <c r="R45" s="6" t="inlineStr">
        <is>
          <t>Yes</t>
        </is>
      </c>
      <c r="S45" s="6" t="inlineStr">
        <is>
          <t>train</t>
        </is>
      </c>
      <c r="T45" s="6" t="inlineStr"/>
    </row>
    <row r="46">
      <c r="A46" s="6" t="inlineStr">
        <is>
          <t>D-0045</t>
        </is>
      </c>
      <c r="B46" s="6" t="inlineStr">
        <is>
          <t>NYU|PHED-UA 10</t>
        </is>
      </c>
      <c r="C46" s="6" t="inlineStr">
        <is>
          <t>NYU</t>
        </is>
      </c>
      <c r="D46" s="6" t="inlineStr">
        <is>
          <t>PHED-UA 10</t>
        </is>
      </c>
      <c r="E46" s="6" t="inlineStr">
        <is>
          <t>Fitness and Wellness</t>
        </is>
      </c>
      <c r="F46" s="6" t="n">
        <v>2</v>
      </c>
      <c r="G46" s="6" t="inlineStr">
        <is>
          <t>Semester</t>
        </is>
      </c>
      <c r="H46" s="6" t="inlineStr">
        <is>
          <t>No credit</t>
        </is>
      </c>
      <c r="I46" s="6" t="inlineStr">
        <is>
          <t>TFRGEN NOCRDT</t>
        </is>
      </c>
      <c r="J46" s="6" t="n">
        <v>0</v>
      </c>
      <c r="K46" s="6" t="inlineStr">
        <is>
          <t>TX</t>
        </is>
      </c>
      <c r="L46" s="6" t="inlineStr">
        <is>
          <t>NC-PE</t>
        </is>
      </c>
      <c r="M46" s="6" t="n"/>
      <c r="N46" s="6" t="inlineStr">
        <is>
          <t>Credit Evaluation Office</t>
        </is>
      </c>
      <c r="O46" s="6" t="inlineStr">
        <is>
          <t>General education</t>
        </is>
      </c>
      <c r="P46" s="6" t="inlineStr">
        <is>
          <t>2024-11-05</t>
        </is>
      </c>
      <c r="Q46" s="6" t="inlineStr">
        <is>
          <t>2024-25</t>
        </is>
      </c>
      <c r="R46" s="6" t="inlineStr">
        <is>
          <t>Yes</t>
        </is>
      </c>
      <c r="S46" s="6" t="inlineStr">
        <is>
          <t>train</t>
        </is>
      </c>
      <c r="T46" s="6" t="inlineStr"/>
    </row>
    <row r="47">
      <c r="A47" s="6" t="inlineStr">
        <is>
          <t>D-0046</t>
        </is>
      </c>
      <c r="B47" s="6" t="inlineStr">
        <is>
          <t>NYU|MATH-UA 9</t>
        </is>
      </c>
      <c r="C47" s="6" t="inlineStr">
        <is>
          <t>NYU</t>
        </is>
      </c>
      <c r="D47" s="6" t="inlineStr">
        <is>
          <t>MATH-UA 9</t>
        </is>
      </c>
      <c r="E47" s="3" t="inlineStr">
        <is>
          <t>Algebra and Calculus Foundations (developmental)</t>
        </is>
      </c>
      <c r="F47" s="6" t="n">
        <v>4</v>
      </c>
      <c r="G47" s="6" t="inlineStr">
        <is>
          <t>Semester</t>
        </is>
      </c>
      <c r="H47" s="6" t="inlineStr">
        <is>
          <t>No credit</t>
        </is>
      </c>
      <c r="I47" s="6" t="inlineStr">
        <is>
          <t>TFRGEN NOCRDT</t>
        </is>
      </c>
      <c r="J47" s="6" t="n">
        <v>0</v>
      </c>
      <c r="K47" s="6" t="inlineStr">
        <is>
          <t>TX</t>
        </is>
      </c>
      <c r="L47" s="6" t="inlineStr">
        <is>
          <t>NC-REMEDIAL</t>
        </is>
      </c>
      <c r="M47" s="6" t="n"/>
      <c r="N47" s="6" t="inlineStr">
        <is>
          <t>Credit Evaluation Office</t>
        </is>
      </c>
      <c r="O47" s="6" t="inlineStr">
        <is>
          <t>Mathematics</t>
        </is>
      </c>
      <c r="P47" s="6" t="inlineStr">
        <is>
          <t>2024-07-26</t>
        </is>
      </c>
      <c r="Q47" s="6" t="inlineStr">
        <is>
          <t>2023-24</t>
        </is>
      </c>
      <c r="R47" s="6" t="inlineStr">
        <is>
          <t>Yes</t>
        </is>
      </c>
      <c r="S47" s="6" t="inlineStr">
        <is>
          <t>train</t>
        </is>
      </c>
      <c r="T47" s="6" t="inlineStr"/>
    </row>
    <row r="48">
      <c r="A48" s="6" t="inlineStr">
        <is>
          <t>D-0047</t>
        </is>
      </c>
      <c r="B48" s="6" t="inlineStr">
        <is>
          <t>NYU|PSYCH-UA 997</t>
        </is>
      </c>
      <c r="C48" s="6" t="inlineStr">
        <is>
          <t>NYU</t>
        </is>
      </c>
      <c r="D48" s="6" t="inlineStr">
        <is>
          <t>PSYCH-UA 997</t>
        </is>
      </c>
      <c r="E48" s="6" t="inlineStr">
        <is>
          <t>Independent Research in Psychology</t>
        </is>
      </c>
      <c r="F48" s="6" t="n">
        <v>4</v>
      </c>
      <c r="G48" s="6" t="inlineStr">
        <is>
          <t>Semester</t>
        </is>
      </c>
      <c r="H48" s="6" t="inlineStr">
        <is>
          <t>No credit</t>
        </is>
      </c>
      <c r="I48" s="6" t="inlineStr">
        <is>
          <t>TFRGEN NOCRDT</t>
        </is>
      </c>
      <c r="J48" s="6" t="n">
        <v>0</v>
      </c>
      <c r="K48" s="6" t="inlineStr">
        <is>
          <t>TX</t>
        </is>
      </c>
      <c r="L48" s="6" t="inlineStr">
        <is>
          <t>NC-RESEARCH</t>
        </is>
      </c>
      <c r="M48" s="6" t="n"/>
      <c r="N48" s="6" t="inlineStr">
        <is>
          <t>Credit Evaluation Office</t>
        </is>
      </c>
      <c r="O48" s="6" t="inlineStr">
        <is>
          <t>Psychology</t>
        </is>
      </c>
      <c r="P48" s="6" t="inlineStr">
        <is>
          <t>2024-10-05</t>
        </is>
      </c>
      <c r="Q48" s="6" t="inlineStr">
        <is>
          <t>2024-25</t>
        </is>
      </c>
      <c r="R48" s="6" t="inlineStr">
        <is>
          <t>Yes</t>
        </is>
      </c>
      <c r="S48" s="6" t="inlineStr">
        <is>
          <t>train</t>
        </is>
      </c>
      <c r="T48" s="6" t="inlineStr"/>
    </row>
    <row r="49">
      <c r="A49" s="6" t="inlineStr">
        <is>
          <t>D-0048</t>
        </is>
      </c>
      <c r="B49" s="6" t="inlineStr">
        <is>
          <t>NEU|COOP 3945</t>
        </is>
      </c>
      <c r="C49" s="6" t="inlineStr">
        <is>
          <t>NEU</t>
        </is>
      </c>
      <c r="D49" s="6" t="inlineStr">
        <is>
          <t>COOP 3945</t>
        </is>
      </c>
      <c r="E49" s="6" t="inlineStr">
        <is>
          <t>Co-op Work Experience</t>
        </is>
      </c>
      <c r="F49" s="6" t="n">
        <v>4</v>
      </c>
      <c r="G49" s="6" t="inlineStr">
        <is>
          <t>Semester</t>
        </is>
      </c>
      <c r="H49" s="6" t="inlineStr">
        <is>
          <t>No credit</t>
        </is>
      </c>
      <c r="I49" s="6" t="inlineStr">
        <is>
          <t>TFRGEN NOCRDT</t>
        </is>
      </c>
      <c r="J49" s="6" t="n">
        <v>0</v>
      </c>
      <c r="K49" s="6" t="inlineStr">
        <is>
          <t>TX</t>
        </is>
      </c>
      <c r="L49" s="6" t="inlineStr">
        <is>
          <t>NC-INTERNSHIP</t>
        </is>
      </c>
      <c r="M49" s="6" t="n"/>
      <c r="N49" s="6" t="inlineStr">
        <is>
          <t>Credit Evaluation Office</t>
        </is>
      </c>
      <c r="O49" s="6" t="inlineStr">
        <is>
          <t>Career</t>
        </is>
      </c>
      <c r="P49" s="6" t="inlineStr">
        <is>
          <t>2024-01-02</t>
        </is>
      </c>
      <c r="Q49" s="6" t="inlineStr">
        <is>
          <t>2023-24</t>
        </is>
      </c>
      <c r="R49" s="6" t="inlineStr">
        <is>
          <t>Yes</t>
        </is>
      </c>
      <c r="S49" s="6" t="inlineStr">
        <is>
          <t>train</t>
        </is>
      </c>
      <c r="T49" s="6" t="inlineStr"/>
    </row>
    <row r="50">
      <c r="A50" s="6" t="inlineStr">
        <is>
          <t>D-0049</t>
        </is>
      </c>
      <c r="B50" s="6" t="inlineStr">
        <is>
          <t>NEU|ECON 2350</t>
        </is>
      </c>
      <c r="C50" s="6" t="inlineStr">
        <is>
          <t>NEU</t>
        </is>
      </c>
      <c r="D50" s="6" t="inlineStr">
        <is>
          <t>ECON 2350</t>
        </is>
      </c>
      <c r="E50" s="6" t="inlineStr">
        <is>
          <t>Statistics for Economists</t>
        </is>
      </c>
      <c r="F50" s="6" t="n">
        <v>4</v>
      </c>
      <c r="G50" s="6" t="inlineStr">
        <is>
          <t>Semester</t>
        </is>
      </c>
      <c r="H50" s="6" t="inlineStr">
        <is>
          <t>Equivalent</t>
        </is>
      </c>
      <c r="I50" s="6" t="inlineStr">
        <is>
          <t>CAS EC 203</t>
        </is>
      </c>
      <c r="J50" s="6" t="n">
        <v>4</v>
      </c>
      <c r="K50" s="6" t="inlineStr">
        <is>
          <t>T</t>
        </is>
      </c>
      <c r="L50" s="6" t="inlineStr">
        <is>
          <t>EQ-CONTENT</t>
        </is>
      </c>
      <c r="M50" s="6" t="n">
        <v>88</v>
      </c>
      <c r="N50" s="6" t="inlineStr">
        <is>
          <t>Evaluator EC-B</t>
        </is>
      </c>
      <c r="O50" s="6" t="inlineStr">
        <is>
          <t>Economics</t>
        </is>
      </c>
      <c r="P50" s="6" t="inlineStr">
        <is>
          <t>2025-03-01</t>
        </is>
      </c>
      <c r="Q50" s="6" t="inlineStr">
        <is>
          <t>2023-24</t>
        </is>
      </c>
      <c r="R50" s="6" t="inlineStr">
        <is>
          <t>Yes</t>
        </is>
      </c>
      <c r="S50" s="6" t="inlineStr">
        <is>
          <t>train</t>
        </is>
      </c>
      <c r="T50" s="6" t="inlineStr"/>
    </row>
    <row r="51">
      <c r="A51" s="6" t="inlineStr">
        <is>
          <t>D-0050</t>
        </is>
      </c>
      <c r="B51" s="6" t="inlineStr">
        <is>
          <t>NEU|PSYC 3458</t>
        </is>
      </c>
      <c r="C51" s="6" t="inlineStr">
        <is>
          <t>NEU</t>
        </is>
      </c>
      <c r="D51" s="6" t="inlineStr">
        <is>
          <t>PSYC 3458</t>
        </is>
      </c>
      <c r="E51" s="6" t="inlineStr">
        <is>
          <t>Biological Psychology</t>
        </is>
      </c>
      <c r="F51" s="6" t="n">
        <v>4</v>
      </c>
      <c r="G51" s="6" t="inlineStr">
        <is>
          <t>Semester</t>
        </is>
      </c>
      <c r="H51" s="6" t="inlineStr">
        <is>
          <t>Equivalent</t>
        </is>
      </c>
      <c r="I51" s="6" t="inlineStr">
        <is>
          <t>CAS PS 231</t>
        </is>
      </c>
      <c r="J51" s="6" t="n">
        <v>4</v>
      </c>
      <c r="K51" s="6" t="inlineStr">
        <is>
          <t>T</t>
        </is>
      </c>
      <c r="L51" s="6" t="inlineStr">
        <is>
          <t>EQ-CONTENT</t>
        </is>
      </c>
      <c r="M51" s="6" t="n">
        <v>100</v>
      </c>
      <c r="N51" s="6" t="inlineStr">
        <is>
          <t>Evaluator PS-B</t>
        </is>
      </c>
      <c r="O51" s="6" t="inlineStr">
        <is>
          <t>Psychology</t>
        </is>
      </c>
      <c r="P51" s="6" t="inlineStr">
        <is>
          <t>2024-08-13</t>
        </is>
      </c>
      <c r="Q51" s="6" t="inlineStr">
        <is>
          <t>2024-25</t>
        </is>
      </c>
      <c r="R51" s="6" t="inlineStr">
        <is>
          <t>Yes</t>
        </is>
      </c>
      <c r="S51" s="6" t="inlineStr">
        <is>
          <t>train</t>
        </is>
      </c>
      <c r="T51" s="6" t="inlineStr"/>
    </row>
    <row r="52">
      <c r="A52" s="6" t="inlineStr">
        <is>
          <t>D-0051</t>
        </is>
      </c>
      <c r="B52" s="6" t="inlineStr">
        <is>
          <t>NEU|PSYC 3703</t>
        </is>
      </c>
      <c r="C52" s="6" t="inlineStr">
        <is>
          <t>NEU</t>
        </is>
      </c>
      <c r="D52" s="6" t="inlineStr">
        <is>
          <t>PSYC 3703</t>
        </is>
      </c>
      <c r="E52" s="6" t="inlineStr">
        <is>
          <t>Cognitive Neuroscience</t>
        </is>
      </c>
      <c r="F52" s="6" t="n">
        <v>4</v>
      </c>
      <c r="G52" s="6" t="inlineStr">
        <is>
          <t>Semester</t>
        </is>
      </c>
      <c r="H52" s="6" t="inlineStr">
        <is>
          <t>Equivalent</t>
        </is>
      </c>
      <c r="I52" s="6" t="inlineStr">
        <is>
          <t>CAS PS 320</t>
        </is>
      </c>
      <c r="J52" s="6" t="n">
        <v>4</v>
      </c>
      <c r="K52" s="6" t="inlineStr">
        <is>
          <t>T</t>
        </is>
      </c>
      <c r="L52" s="6" t="inlineStr">
        <is>
          <t>EQ-CONTENT</t>
        </is>
      </c>
      <c r="M52" s="6" t="n">
        <v>88</v>
      </c>
      <c r="N52" s="6" t="inlineStr">
        <is>
          <t>Evaluator PS-A</t>
        </is>
      </c>
      <c r="O52" s="6" t="inlineStr">
        <is>
          <t>Psychology</t>
        </is>
      </c>
      <c r="P52" s="6" t="inlineStr">
        <is>
          <t>2025-03-10</t>
        </is>
      </c>
      <c r="Q52" s="6" t="inlineStr">
        <is>
          <t>2024-25</t>
        </is>
      </c>
      <c r="R52" s="6" t="inlineStr">
        <is>
          <t>Yes</t>
        </is>
      </c>
      <c r="S52" s="6" t="inlineStr">
        <is>
          <t>train</t>
        </is>
      </c>
      <c r="T52" s="6" t="inlineStr"/>
    </row>
    <row r="53">
      <c r="A53" s="6" t="inlineStr">
        <is>
          <t>D-0052</t>
        </is>
      </c>
      <c r="B53" s="6" t="inlineStr">
        <is>
          <t>NEU|CS 2706</t>
        </is>
      </c>
      <c r="C53" s="6" t="inlineStr">
        <is>
          <t>NEU</t>
        </is>
      </c>
      <c r="D53" s="6" t="inlineStr">
        <is>
          <t>CS 2706</t>
        </is>
      </c>
      <c r="E53" s="3" t="inlineStr">
        <is>
          <t>Agile Methods and Entity-relationship Design</t>
        </is>
      </c>
      <c r="F53" s="6" t="n">
        <v>4</v>
      </c>
      <c r="G53" s="6" t="inlineStr">
        <is>
          <t>Semester</t>
        </is>
      </c>
      <c r="H53" s="6" t="inlineStr">
        <is>
          <t>Elective</t>
        </is>
      </c>
      <c r="I53" s="6" t="inlineStr">
        <is>
          <t>CAS CS 2TR</t>
        </is>
      </c>
      <c r="J53" s="6" t="n">
        <v>4</v>
      </c>
      <c r="K53" s="6" t="inlineStr">
        <is>
          <t>T</t>
        </is>
      </c>
      <c r="L53" s="6" t="inlineStr">
        <is>
          <t>EL-LOWOVERLAP</t>
        </is>
      </c>
      <c r="M53" s="6" t="n">
        <v>25</v>
      </c>
      <c r="N53" s="6" t="inlineStr">
        <is>
          <t>Evaluator CS-B</t>
        </is>
      </c>
      <c r="O53" s="6" t="inlineStr">
        <is>
          <t>Computer Science</t>
        </is>
      </c>
      <c r="P53" s="6" t="inlineStr">
        <is>
          <t>2024-06-08</t>
        </is>
      </c>
      <c r="Q53" s="6" t="inlineStr">
        <is>
          <t>2023-24</t>
        </is>
      </c>
      <c r="R53" s="6" t="inlineStr">
        <is>
          <t>Yes</t>
        </is>
      </c>
      <c r="S53" s="6" t="inlineStr">
        <is>
          <t>train</t>
        </is>
      </c>
      <c r="T53" s="6" t="inlineStr"/>
    </row>
    <row r="54">
      <c r="A54" s="6" t="inlineStr">
        <is>
          <t>D-0053</t>
        </is>
      </c>
      <c r="B54" s="6" t="inlineStr">
        <is>
          <t>NYU|BIOL-UA 366</t>
        </is>
      </c>
      <c r="C54" s="6" t="inlineStr">
        <is>
          <t>NYU</t>
        </is>
      </c>
      <c r="D54" s="6" t="inlineStr">
        <is>
          <t>BIOL-UA 366</t>
        </is>
      </c>
      <c r="E54" s="6" t="inlineStr">
        <is>
          <t>Virology</t>
        </is>
      </c>
      <c r="F54" s="6" t="n">
        <v>4</v>
      </c>
      <c r="G54" s="6" t="inlineStr">
        <is>
          <t>Semester</t>
        </is>
      </c>
      <c r="H54" s="6" t="inlineStr">
        <is>
          <t>Equivalent</t>
        </is>
      </c>
      <c r="I54" s="6" t="inlineStr">
        <is>
          <t>CAS BI 380</t>
        </is>
      </c>
      <c r="J54" s="6" t="n">
        <v>4</v>
      </c>
      <c r="K54" s="6" t="inlineStr">
        <is>
          <t>T</t>
        </is>
      </c>
      <c r="L54" s="6" t="inlineStr">
        <is>
          <t>EQ-EVALUATOR</t>
        </is>
      </c>
      <c r="M54" s="6" t="n">
        <v>75</v>
      </c>
      <c r="N54" s="6" t="inlineStr">
        <is>
          <t>Evaluator BI-B</t>
        </is>
      </c>
      <c r="O54" s="6" t="inlineStr">
        <is>
          <t>Biology</t>
        </is>
      </c>
      <c r="P54" s="6" t="inlineStr">
        <is>
          <t>2024-11-25</t>
        </is>
      </c>
      <c r="Q54" s="6" t="inlineStr">
        <is>
          <t>2023-24</t>
        </is>
      </c>
      <c r="R54" s="6" t="inlineStr">
        <is>
          <t>Yes</t>
        </is>
      </c>
      <c r="S54" s="6" t="inlineStr">
        <is>
          <t>train</t>
        </is>
      </c>
      <c r="T54" s="6" t="inlineStr"/>
    </row>
    <row r="55">
      <c r="A55" s="6" t="inlineStr">
        <is>
          <t>D-0054</t>
        </is>
      </c>
      <c r="B55" s="6" t="inlineStr">
        <is>
          <t>NYU|PSYCH-UA 22</t>
        </is>
      </c>
      <c r="C55" s="6" t="inlineStr">
        <is>
          <t>NYU</t>
        </is>
      </c>
      <c r="D55" s="6" t="inlineStr">
        <is>
          <t>PSYCH-UA 22</t>
        </is>
      </c>
      <c r="E55" s="6" t="inlineStr">
        <is>
          <t>Perception</t>
        </is>
      </c>
      <c r="F55" s="6" t="n">
        <v>4</v>
      </c>
      <c r="G55" s="6" t="inlineStr">
        <is>
          <t>Semester</t>
        </is>
      </c>
      <c r="H55" s="6" t="inlineStr">
        <is>
          <t>Equivalent</t>
        </is>
      </c>
      <c r="I55" s="6" t="inlineStr">
        <is>
          <t>CAS PS 222</t>
        </is>
      </c>
      <c r="J55" s="6" t="n">
        <v>4</v>
      </c>
      <c r="K55" s="6" t="inlineStr">
        <is>
          <t>T</t>
        </is>
      </c>
      <c r="L55" s="6" t="inlineStr">
        <is>
          <t>EQ-CONTENT</t>
        </is>
      </c>
      <c r="M55" s="6" t="n">
        <v>88</v>
      </c>
      <c r="N55" s="6" t="inlineStr">
        <is>
          <t>Evaluator PS-A</t>
        </is>
      </c>
      <c r="O55" s="6" t="inlineStr">
        <is>
          <t>Psychology</t>
        </is>
      </c>
      <c r="P55" s="6" t="inlineStr">
        <is>
          <t>2024-02-01</t>
        </is>
      </c>
      <c r="Q55" s="6" t="inlineStr">
        <is>
          <t>2024-25</t>
        </is>
      </c>
      <c r="R55" s="6" t="inlineStr">
        <is>
          <t>Yes</t>
        </is>
      </c>
      <c r="S55" s="6" t="inlineStr">
        <is>
          <t>train</t>
        </is>
      </c>
      <c r="T55" s="6" t="inlineStr"/>
    </row>
    <row r="56">
      <c r="A56" s="6" t="inlineStr">
        <is>
          <t>D-0055</t>
        </is>
      </c>
      <c r="B56" s="6" t="inlineStr">
        <is>
          <t>NYU|PSYCH-UA 29</t>
        </is>
      </c>
      <c r="C56" s="6" t="inlineStr">
        <is>
          <t>NYU</t>
        </is>
      </c>
      <c r="D56" s="6" t="inlineStr">
        <is>
          <t>PSYCH-UA 29</t>
        </is>
      </c>
      <c r="E56" s="6" t="inlineStr">
        <is>
          <t>Cognition</t>
        </is>
      </c>
      <c r="F56" s="6" t="n">
        <v>4</v>
      </c>
      <c r="G56" s="6" t="inlineStr">
        <is>
          <t>Semester</t>
        </is>
      </c>
      <c r="H56" s="6" t="inlineStr">
        <is>
          <t>Equivalent</t>
        </is>
      </c>
      <c r="I56" s="6" t="inlineStr">
        <is>
          <t>CAS PS 336</t>
        </is>
      </c>
      <c r="J56" s="6" t="n">
        <v>4</v>
      </c>
      <c r="K56" s="6" t="inlineStr">
        <is>
          <t>T</t>
        </is>
      </c>
      <c r="L56" s="6" t="inlineStr">
        <is>
          <t>EQ-CONTENT</t>
        </is>
      </c>
      <c r="M56" s="6" t="n">
        <v>100</v>
      </c>
      <c r="N56" s="6" t="inlineStr">
        <is>
          <t>Evaluator PS-B</t>
        </is>
      </c>
      <c r="O56" s="6" t="inlineStr">
        <is>
          <t>Psychology</t>
        </is>
      </c>
      <c r="P56" s="6" t="inlineStr">
        <is>
          <t>2024-01-16</t>
        </is>
      </c>
      <c r="Q56" s="6" t="inlineStr">
        <is>
          <t>2023-24</t>
        </is>
      </c>
      <c r="R56" s="6" t="inlineStr">
        <is>
          <t>Yes</t>
        </is>
      </c>
      <c r="S56" s="6" t="inlineStr">
        <is>
          <t>train</t>
        </is>
      </c>
      <c r="T56" s="6" t="inlineStr"/>
    </row>
    <row r="57">
      <c r="A57" s="6" t="inlineStr">
        <is>
          <t>D-0056</t>
        </is>
      </c>
      <c r="B57" s="6" t="inlineStr">
        <is>
          <t>NEU|ECON 3712</t>
        </is>
      </c>
      <c r="C57" s="6" t="inlineStr">
        <is>
          <t>NEU</t>
        </is>
      </c>
      <c r="D57" s="6" t="inlineStr">
        <is>
          <t>ECON 3712</t>
        </is>
      </c>
      <c r="E57" s="6" t="inlineStr">
        <is>
          <t>IS-LM Model and Patents</t>
        </is>
      </c>
      <c r="F57" s="6" t="n">
        <v>4</v>
      </c>
      <c r="G57" s="6" t="inlineStr">
        <is>
          <t>Semester</t>
        </is>
      </c>
      <c r="H57" s="6" t="inlineStr">
        <is>
          <t>Elective</t>
        </is>
      </c>
      <c r="I57" s="6" t="inlineStr">
        <is>
          <t>CAS EC 2TR</t>
        </is>
      </c>
      <c r="J57" s="6" t="n">
        <v>4</v>
      </c>
      <c r="K57" s="6" t="inlineStr">
        <is>
          <t>T</t>
        </is>
      </c>
      <c r="L57" s="6" t="inlineStr">
        <is>
          <t>EL-LOWOVERLAP</t>
        </is>
      </c>
      <c r="M57" s="6" t="n">
        <v>38</v>
      </c>
      <c r="N57" s="6" t="inlineStr">
        <is>
          <t>Evaluator EC-A</t>
        </is>
      </c>
      <c r="O57" s="6" t="inlineStr">
        <is>
          <t>Economics</t>
        </is>
      </c>
      <c r="P57" s="6" t="inlineStr">
        <is>
          <t>2024-06-23</t>
        </is>
      </c>
      <c r="Q57" s="6" t="inlineStr">
        <is>
          <t>2023-24</t>
        </is>
      </c>
      <c r="R57" s="6" t="inlineStr">
        <is>
          <t>Yes</t>
        </is>
      </c>
      <c r="S57" s="6" t="inlineStr">
        <is>
          <t>train</t>
        </is>
      </c>
      <c r="T57" s="6" t="inlineStr"/>
    </row>
    <row r="58">
      <c r="A58" s="6" t="inlineStr">
        <is>
          <t>D-0057</t>
        </is>
      </c>
      <c r="B58" s="6" t="inlineStr">
        <is>
          <t>NYU|CHEM-UA 125</t>
        </is>
      </c>
      <c r="C58" s="6" t="inlineStr">
        <is>
          <t>NYU</t>
        </is>
      </c>
      <c r="D58" s="6" t="inlineStr">
        <is>
          <t>CHEM-UA 125</t>
        </is>
      </c>
      <c r="E58" s="6" t="inlineStr">
        <is>
          <t>General Chemistry I</t>
        </is>
      </c>
      <c r="F58" s="6" t="n">
        <v>5</v>
      </c>
      <c r="G58" s="6" t="inlineStr">
        <is>
          <t>Semester</t>
        </is>
      </c>
      <c r="H58" s="6" t="inlineStr">
        <is>
          <t>Equivalent</t>
        </is>
      </c>
      <c r="I58" s="6" t="inlineStr">
        <is>
          <t>CAS CH 101</t>
        </is>
      </c>
      <c r="J58" s="6" t="n">
        <v>5</v>
      </c>
      <c r="K58" s="6" t="inlineStr">
        <is>
          <t>T</t>
        </is>
      </c>
      <c r="L58" s="6" t="inlineStr">
        <is>
          <t>EQ-CONTENT</t>
        </is>
      </c>
      <c r="M58" s="6" t="n">
        <v>100</v>
      </c>
      <c r="N58" s="6" t="inlineStr">
        <is>
          <t>Evaluator BI-B</t>
        </is>
      </c>
      <c r="O58" s="6" t="inlineStr">
        <is>
          <t>Biology</t>
        </is>
      </c>
      <c r="P58" s="6" t="inlineStr">
        <is>
          <t>2024-01-04</t>
        </is>
      </c>
      <c r="Q58" s="6" t="inlineStr">
        <is>
          <t>2024-25</t>
        </is>
      </c>
      <c r="R58" s="6" t="inlineStr">
        <is>
          <t>Yes</t>
        </is>
      </c>
      <c r="S58" s="6" t="inlineStr">
        <is>
          <t>train</t>
        </is>
      </c>
      <c r="T58" s="6" t="inlineStr"/>
    </row>
    <row r="59">
      <c r="A59" s="6" t="inlineStr">
        <is>
          <t>D-0058</t>
        </is>
      </c>
      <c r="B59" s="6" t="inlineStr">
        <is>
          <t>NEU|PSYC 3715</t>
        </is>
      </c>
      <c r="C59" s="6" t="inlineStr">
        <is>
          <t>NEU</t>
        </is>
      </c>
      <c r="D59" s="6" t="inlineStr">
        <is>
          <t>PSYC 3715</t>
        </is>
      </c>
      <c r="E59" s="6" t="inlineStr">
        <is>
          <t>Introduction to Cognitive Psychology</t>
        </is>
      </c>
      <c r="F59" s="6" t="n">
        <v>4</v>
      </c>
      <c r="G59" s="6" t="inlineStr">
        <is>
          <t>Semester</t>
        </is>
      </c>
      <c r="H59" s="6" t="inlineStr">
        <is>
          <t>Equivalent</t>
        </is>
      </c>
      <c r="I59" s="6" t="inlineStr">
        <is>
          <t>CAS PS 336</t>
        </is>
      </c>
      <c r="J59" s="6" t="n">
        <v>4</v>
      </c>
      <c r="K59" s="6" t="inlineStr">
        <is>
          <t>T</t>
        </is>
      </c>
      <c r="L59" s="6" t="inlineStr">
        <is>
          <t>EQ-CONTENT</t>
        </is>
      </c>
      <c r="M59" s="6" t="n">
        <v>88</v>
      </c>
      <c r="N59" s="6" t="inlineStr">
        <is>
          <t>Evaluator PS-A</t>
        </is>
      </c>
      <c r="O59" s="6" t="inlineStr">
        <is>
          <t>Psychology</t>
        </is>
      </c>
      <c r="P59" s="6" t="inlineStr">
        <is>
          <t>2025-02-25</t>
        </is>
      </c>
      <c r="Q59" s="6" t="inlineStr">
        <is>
          <t>2024-25</t>
        </is>
      </c>
      <c r="R59" s="6" t="inlineStr">
        <is>
          <t>Yes</t>
        </is>
      </c>
      <c r="S59" s="6" t="inlineStr">
        <is>
          <t>train</t>
        </is>
      </c>
      <c r="T59" s="6" t="inlineStr"/>
    </row>
    <row r="60">
      <c r="A60" s="6" t="inlineStr">
        <is>
          <t>D-0059</t>
        </is>
      </c>
      <c r="B60" s="6" t="inlineStr">
        <is>
          <t>NYU|CHEM-UA 363</t>
        </is>
      </c>
      <c r="C60" s="6" t="inlineStr">
        <is>
          <t>NYU</t>
        </is>
      </c>
      <c r="D60" s="6" t="inlineStr">
        <is>
          <t>CHEM-UA 363</t>
        </is>
      </c>
      <c r="E60" s="6" t="inlineStr">
        <is>
          <t>Physical Chemistry for Life Sciences</t>
        </is>
      </c>
      <c r="F60" s="6" t="n">
        <v>4</v>
      </c>
      <c r="G60" s="6" t="inlineStr">
        <is>
          <t>Semester</t>
        </is>
      </c>
      <c r="H60" s="6" t="inlineStr">
        <is>
          <t>Elective</t>
        </is>
      </c>
      <c r="I60" s="6" t="inlineStr">
        <is>
          <t>CAS CH 2TR</t>
        </is>
      </c>
      <c r="J60" s="6" t="n">
        <v>4</v>
      </c>
      <c r="K60" s="6" t="inlineStr">
        <is>
          <t>T</t>
        </is>
      </c>
      <c r="L60" s="6" t="inlineStr">
        <is>
          <t>EL-PARTIAL</t>
        </is>
      </c>
      <c r="M60" s="6" t="n">
        <v>62</v>
      </c>
      <c r="N60" s="6" t="inlineStr">
        <is>
          <t>Evaluator BI-A</t>
        </is>
      </c>
      <c r="O60" s="6" t="inlineStr">
        <is>
          <t>Biology</t>
        </is>
      </c>
      <c r="P60" s="6" t="inlineStr">
        <is>
          <t>2024-05-24</t>
        </is>
      </c>
      <c r="Q60" s="6" t="inlineStr">
        <is>
          <t>2024-25</t>
        </is>
      </c>
      <c r="R60" s="6" t="inlineStr">
        <is>
          <t>Yes</t>
        </is>
      </c>
      <c r="S60" s="6" t="inlineStr">
        <is>
          <t>train</t>
        </is>
      </c>
      <c r="T60" s="6" t="inlineStr"/>
    </row>
    <row r="61">
      <c r="A61" s="6" t="inlineStr">
        <is>
          <t>D-0060</t>
        </is>
      </c>
      <c r="B61" s="6" t="inlineStr">
        <is>
          <t>NYU|BIOL-UA 166</t>
        </is>
      </c>
      <c r="C61" s="6" t="inlineStr">
        <is>
          <t>NYU</t>
        </is>
      </c>
      <c r="D61" s="6" t="inlineStr">
        <is>
          <t>BIOL-UA 166</t>
        </is>
      </c>
      <c r="E61" s="6" t="inlineStr">
        <is>
          <t>Ecology</t>
        </is>
      </c>
      <c r="F61" s="6" t="n">
        <v>4</v>
      </c>
      <c r="G61" s="6" t="inlineStr">
        <is>
          <t>Semester</t>
        </is>
      </c>
      <c r="H61" s="6" t="inlineStr">
        <is>
          <t>Equivalent</t>
        </is>
      </c>
      <c r="I61" s="6" t="inlineStr">
        <is>
          <t>CAS BI 225</t>
        </is>
      </c>
      <c r="J61" s="6" t="n">
        <v>4</v>
      </c>
      <c r="K61" s="6" t="inlineStr">
        <is>
          <t>T</t>
        </is>
      </c>
      <c r="L61" s="6" t="inlineStr">
        <is>
          <t>EQ-CONTENT</t>
        </is>
      </c>
      <c r="M61" s="6" t="n">
        <v>88</v>
      </c>
      <c r="N61" s="6" t="inlineStr">
        <is>
          <t>Evaluator BI-B</t>
        </is>
      </c>
      <c r="O61" s="6" t="inlineStr">
        <is>
          <t>Biology</t>
        </is>
      </c>
      <c r="P61" s="6" t="inlineStr">
        <is>
          <t>2024-05-12</t>
        </is>
      </c>
      <c r="Q61" s="6" t="inlineStr">
        <is>
          <t>2023-24</t>
        </is>
      </c>
      <c r="R61" s="6" t="inlineStr">
        <is>
          <t>Yes</t>
        </is>
      </c>
      <c r="S61" s="6" t="inlineStr">
        <is>
          <t>train</t>
        </is>
      </c>
      <c r="T61" s="6" t="inlineStr"/>
    </row>
    <row r="62">
      <c r="A62" s="6" t="inlineStr">
        <is>
          <t>D-0061</t>
        </is>
      </c>
      <c r="B62" s="6" t="inlineStr">
        <is>
          <t>NEU|ECON 3703</t>
        </is>
      </c>
      <c r="C62" s="6" t="inlineStr">
        <is>
          <t>NEU</t>
        </is>
      </c>
      <c r="D62" s="6" t="inlineStr">
        <is>
          <t>ECON 3703</t>
        </is>
      </c>
      <c r="E62" s="6" t="inlineStr">
        <is>
          <t>Financial Economics</t>
        </is>
      </c>
      <c r="F62" s="6" t="n">
        <v>4</v>
      </c>
      <c r="G62" s="6" t="inlineStr">
        <is>
          <t>Semester</t>
        </is>
      </c>
      <c r="H62" s="6" t="inlineStr">
        <is>
          <t>Equivalent</t>
        </is>
      </c>
      <c r="I62" s="6" t="inlineStr">
        <is>
          <t>CAS EC 325</t>
        </is>
      </c>
      <c r="J62" s="6" t="n">
        <v>4</v>
      </c>
      <c r="K62" s="6" t="inlineStr">
        <is>
          <t>T</t>
        </is>
      </c>
      <c r="L62" s="6" t="inlineStr">
        <is>
          <t>EQ-EVALUATOR</t>
        </is>
      </c>
      <c r="M62" s="6" t="n">
        <v>75</v>
      </c>
      <c r="N62" s="6" t="inlineStr">
        <is>
          <t>Evaluator EC-A</t>
        </is>
      </c>
      <c r="O62" s="6" t="inlineStr">
        <is>
          <t>Economics</t>
        </is>
      </c>
      <c r="P62" s="6" t="inlineStr">
        <is>
          <t>2024-04-03</t>
        </is>
      </c>
      <c r="Q62" s="6" t="inlineStr">
        <is>
          <t>2023-24</t>
        </is>
      </c>
      <c r="R62" s="6" t="inlineStr">
        <is>
          <t>Yes</t>
        </is>
      </c>
      <c r="S62" s="6" t="inlineStr">
        <is>
          <t>train</t>
        </is>
      </c>
      <c r="T62" s="6" t="inlineStr"/>
    </row>
    <row r="63">
      <c r="A63" s="6" t="inlineStr">
        <is>
          <t>D-0062</t>
        </is>
      </c>
      <c r="B63" s="6" t="inlineStr">
        <is>
          <t>NYU|MATH-UA 163</t>
        </is>
      </c>
      <c r="C63" s="6" t="inlineStr">
        <is>
          <t>NYU</t>
        </is>
      </c>
      <c r="D63" s="6" t="inlineStr">
        <is>
          <t>MATH-UA 163</t>
        </is>
      </c>
      <c r="E63" s="6" t="inlineStr">
        <is>
          <t>Discrete Mathematics</t>
        </is>
      </c>
      <c r="F63" s="6" t="n">
        <v>4</v>
      </c>
      <c r="G63" s="6" t="inlineStr">
        <is>
          <t>Semester</t>
        </is>
      </c>
      <c r="H63" s="6" t="inlineStr">
        <is>
          <t>Equivalent</t>
        </is>
      </c>
      <c r="I63" s="6" t="inlineStr">
        <is>
          <t>CAS MA 293</t>
        </is>
      </c>
      <c r="J63" s="6" t="n">
        <v>4</v>
      </c>
      <c r="K63" s="6" t="inlineStr">
        <is>
          <t>T</t>
        </is>
      </c>
      <c r="L63" s="6" t="inlineStr">
        <is>
          <t>EQ-CONTENT</t>
        </is>
      </c>
      <c r="M63" s="6" t="n">
        <v>100</v>
      </c>
      <c r="N63" s="6" t="inlineStr">
        <is>
          <t>Evaluator MA-A</t>
        </is>
      </c>
      <c r="O63" s="6" t="inlineStr">
        <is>
          <t>Mathematics</t>
        </is>
      </c>
      <c r="P63" s="6" t="inlineStr">
        <is>
          <t>2024-12-21</t>
        </is>
      </c>
      <c r="Q63" s="6" t="inlineStr">
        <is>
          <t>2023-24</t>
        </is>
      </c>
      <c r="R63" s="6" t="inlineStr">
        <is>
          <t>Yes</t>
        </is>
      </c>
      <c r="S63" s="6" t="inlineStr">
        <is>
          <t>train</t>
        </is>
      </c>
      <c r="T63" s="6" t="inlineStr"/>
    </row>
    <row r="64">
      <c r="A64" s="6" t="inlineStr">
        <is>
          <t>D-0063</t>
        </is>
      </c>
      <c r="B64" s="6" t="inlineStr">
        <is>
          <t>NEU|ECON 2316</t>
        </is>
      </c>
      <c r="C64" s="6" t="inlineStr">
        <is>
          <t>NEU</t>
        </is>
      </c>
      <c r="D64" s="6" t="inlineStr">
        <is>
          <t>ECON 2316</t>
        </is>
      </c>
      <c r="E64" s="6" t="inlineStr">
        <is>
          <t>Microeconomic Theory</t>
        </is>
      </c>
      <c r="F64" s="6" t="n">
        <v>4</v>
      </c>
      <c r="G64" s="6" t="inlineStr">
        <is>
          <t>Semester</t>
        </is>
      </c>
      <c r="H64" s="6" t="inlineStr">
        <is>
          <t>Equivalent</t>
        </is>
      </c>
      <c r="I64" s="6" t="inlineStr">
        <is>
          <t>CAS EC 201</t>
        </is>
      </c>
      <c r="J64" s="6" t="n">
        <v>4</v>
      </c>
      <c r="K64" s="6" t="inlineStr">
        <is>
          <t>T</t>
        </is>
      </c>
      <c r="L64" s="6" t="inlineStr">
        <is>
          <t>EQ-CONTENT</t>
        </is>
      </c>
      <c r="M64" s="6" t="n">
        <v>100</v>
      </c>
      <c r="N64" s="6" t="inlineStr">
        <is>
          <t>Evaluator EC-B</t>
        </is>
      </c>
      <c r="O64" s="6" t="inlineStr">
        <is>
          <t>Economics</t>
        </is>
      </c>
      <c r="P64" s="6" t="inlineStr">
        <is>
          <t>2025-12-09</t>
        </is>
      </c>
      <c r="Q64" s="6" t="inlineStr">
        <is>
          <t>2023-24</t>
        </is>
      </c>
      <c r="R64" s="6" t="inlineStr">
        <is>
          <t>Yes</t>
        </is>
      </c>
      <c r="S64" s="6" t="inlineStr">
        <is>
          <t>train</t>
        </is>
      </c>
      <c r="T64" s="6" t="inlineStr"/>
    </row>
    <row r="65">
      <c r="A65" s="6" t="inlineStr">
        <is>
          <t>D-0064</t>
        </is>
      </c>
      <c r="B65" s="6" t="inlineStr">
        <is>
          <t>NYU|MATH-UA 63</t>
        </is>
      </c>
      <c r="C65" s="6" t="inlineStr">
        <is>
          <t>NYU</t>
        </is>
      </c>
      <c r="D65" s="6" t="inlineStr">
        <is>
          <t>MATH-UA 63</t>
        </is>
      </c>
      <c r="E65" s="6" t="inlineStr">
        <is>
          <t>Statistics 2</t>
        </is>
      </c>
      <c r="F65" s="6" t="n">
        <v>4</v>
      </c>
      <c r="G65" s="6" t="inlineStr">
        <is>
          <t>Semester</t>
        </is>
      </c>
      <c r="H65" s="6" t="inlineStr">
        <is>
          <t>Elective</t>
        </is>
      </c>
      <c r="I65" s="6" t="inlineStr">
        <is>
          <t>CAS MA 1TR</t>
        </is>
      </c>
      <c r="J65" s="6" t="n">
        <v>4</v>
      </c>
      <c r="K65" s="6" t="inlineStr">
        <is>
          <t>T</t>
        </is>
      </c>
      <c r="L65" s="6" t="inlineStr">
        <is>
          <t>EL-PARTIAL</t>
        </is>
      </c>
      <c r="M65" s="6" t="n">
        <v>62</v>
      </c>
      <c r="N65" s="6" t="inlineStr">
        <is>
          <t>Evaluator MA-A</t>
        </is>
      </c>
      <c r="O65" s="6" t="inlineStr">
        <is>
          <t>Mathematics</t>
        </is>
      </c>
      <c r="P65" s="6" t="inlineStr">
        <is>
          <t>2025-10-11</t>
        </is>
      </c>
      <c r="Q65" s="6" t="inlineStr">
        <is>
          <t>2023-24</t>
        </is>
      </c>
      <c r="R65" s="6" t="inlineStr">
        <is>
          <t>Yes</t>
        </is>
      </c>
      <c r="S65" s="6" t="inlineStr">
        <is>
          <t>train</t>
        </is>
      </c>
      <c r="T65" s="6" t="inlineStr"/>
    </row>
    <row r="66">
      <c r="A66" s="6" t="inlineStr">
        <is>
          <t>D-0065</t>
        </is>
      </c>
      <c r="B66" s="6" t="inlineStr">
        <is>
          <t>NYU|PSYCH-UA 169</t>
        </is>
      </c>
      <c r="C66" s="6" t="inlineStr">
        <is>
          <t>NYU</t>
        </is>
      </c>
      <c r="D66" s="6" t="inlineStr">
        <is>
          <t>PSYCH-UA 169</t>
        </is>
      </c>
      <c r="E66" s="6" t="inlineStr">
        <is>
          <t>Industrial-Organizational Psychology</t>
        </is>
      </c>
      <c r="F66" s="6" t="n">
        <v>4</v>
      </c>
      <c r="G66" s="6" t="inlineStr">
        <is>
          <t>Semester</t>
        </is>
      </c>
      <c r="H66" s="6" t="inlineStr">
        <is>
          <t>Equivalent</t>
        </is>
      </c>
      <c r="I66" s="6" t="inlineStr">
        <is>
          <t>CAS PS 270</t>
        </is>
      </c>
      <c r="J66" s="6" t="n">
        <v>4</v>
      </c>
      <c r="K66" s="6" t="inlineStr">
        <is>
          <t>T</t>
        </is>
      </c>
      <c r="L66" s="6" t="inlineStr">
        <is>
          <t>EQ-CONTENT</t>
        </is>
      </c>
      <c r="M66" s="6" t="n">
        <v>100</v>
      </c>
      <c r="N66" s="6" t="inlineStr">
        <is>
          <t>Evaluator PS-B</t>
        </is>
      </c>
      <c r="O66" s="6" t="inlineStr">
        <is>
          <t>Psychology</t>
        </is>
      </c>
      <c r="P66" s="6" t="inlineStr">
        <is>
          <t>2024-07-28</t>
        </is>
      </c>
      <c r="Q66" s="6" t="inlineStr">
        <is>
          <t>2024-25</t>
        </is>
      </c>
      <c r="R66" s="6" t="inlineStr">
        <is>
          <t>Yes</t>
        </is>
      </c>
      <c r="S66" s="6" t="inlineStr">
        <is>
          <t>train</t>
        </is>
      </c>
      <c r="T66" s="6" t="inlineStr"/>
    </row>
    <row r="67">
      <c r="A67" s="6" t="inlineStr">
        <is>
          <t>D-0066</t>
        </is>
      </c>
      <c r="B67" s="6" t="inlineStr">
        <is>
          <t>NEU|CS 3800</t>
        </is>
      </c>
      <c r="C67" s="6" t="inlineStr">
        <is>
          <t>NEU</t>
        </is>
      </c>
      <c r="D67" s="6" t="inlineStr">
        <is>
          <t>CS 3800</t>
        </is>
      </c>
      <c r="E67" s="6" t="inlineStr">
        <is>
          <t>Theory of Computation</t>
        </is>
      </c>
      <c r="F67" s="6" t="n">
        <v>4</v>
      </c>
      <c r="G67" s="6" t="inlineStr">
        <is>
          <t>Semester</t>
        </is>
      </c>
      <c r="H67" s="6" t="inlineStr">
        <is>
          <t>Elective</t>
        </is>
      </c>
      <c r="I67" s="6" t="inlineStr">
        <is>
          <t>CAS CS 2TR</t>
        </is>
      </c>
      <c r="J67" s="6" t="n">
        <v>4</v>
      </c>
      <c r="K67" s="6" t="inlineStr">
        <is>
          <t>T</t>
        </is>
      </c>
      <c r="L67" s="6" t="inlineStr">
        <is>
          <t>EL-RESIDENCY</t>
        </is>
      </c>
      <c r="M67" s="6" t="n">
        <v>100</v>
      </c>
      <c r="N67" s="6" t="inlineStr">
        <is>
          <t>Evaluator CS-A</t>
        </is>
      </c>
      <c r="O67" s="6" t="inlineStr">
        <is>
          <t>Computer Science</t>
        </is>
      </c>
      <c r="P67" s="6" t="inlineStr">
        <is>
          <t>2024-03-27</t>
        </is>
      </c>
      <c r="Q67" s="6" t="inlineStr">
        <is>
          <t>2024-25</t>
        </is>
      </c>
      <c r="R67" s="6" t="inlineStr">
        <is>
          <t>Yes</t>
        </is>
      </c>
      <c r="S67" s="6" t="inlineStr">
        <is>
          <t>train</t>
        </is>
      </c>
      <c r="T67" s="6" t="inlineStr"/>
    </row>
    <row r="68">
      <c r="A68" s="6" t="inlineStr">
        <is>
          <t>D-0067</t>
        </is>
      </c>
      <c r="B68" s="6" t="inlineStr">
        <is>
          <t>NYU|ECON-UA 1</t>
        </is>
      </c>
      <c r="C68" s="6" t="inlineStr">
        <is>
          <t>NYU</t>
        </is>
      </c>
      <c r="D68" s="6" t="inlineStr">
        <is>
          <t>ECON-UA 1</t>
        </is>
      </c>
      <c r="E68" s="6" t="inlineStr">
        <is>
          <t>Introduction to Macroeconomics</t>
        </is>
      </c>
      <c r="F68" s="6" t="n">
        <v>4</v>
      </c>
      <c r="G68" s="6" t="inlineStr">
        <is>
          <t>Semester</t>
        </is>
      </c>
      <c r="H68" s="6" t="inlineStr">
        <is>
          <t>Equivalent</t>
        </is>
      </c>
      <c r="I68" s="6" t="inlineStr">
        <is>
          <t>CAS EC 102</t>
        </is>
      </c>
      <c r="J68" s="6" t="n">
        <v>4</v>
      </c>
      <c r="K68" s="6" t="inlineStr">
        <is>
          <t>T</t>
        </is>
      </c>
      <c r="L68" s="6" t="inlineStr">
        <is>
          <t>EQ-CONTENT</t>
        </is>
      </c>
      <c r="M68" s="6" t="n">
        <v>100</v>
      </c>
      <c r="N68" s="6" t="inlineStr">
        <is>
          <t>Evaluator EC-B</t>
        </is>
      </c>
      <c r="O68" s="6" t="inlineStr">
        <is>
          <t>Economics</t>
        </is>
      </c>
      <c r="P68" s="6" t="inlineStr">
        <is>
          <t>2025-12-27</t>
        </is>
      </c>
      <c r="Q68" s="6" t="inlineStr">
        <is>
          <t>2024-25</t>
        </is>
      </c>
      <c r="R68" s="6" t="inlineStr">
        <is>
          <t>Yes</t>
        </is>
      </c>
      <c r="S68" s="6" t="inlineStr">
        <is>
          <t>train</t>
        </is>
      </c>
      <c r="T68" s="6" t="inlineStr"/>
    </row>
    <row r="69">
      <c r="A69" s="6" t="inlineStr">
        <is>
          <t>D-0068</t>
        </is>
      </c>
      <c r="B69" s="6" t="inlineStr">
        <is>
          <t>NEU|BIOL 3709</t>
        </is>
      </c>
      <c r="C69" s="6" t="inlineStr">
        <is>
          <t>NEU</t>
        </is>
      </c>
      <c r="D69" s="6" t="inlineStr">
        <is>
          <t>BIOL 3709</t>
        </is>
      </c>
      <c r="E69" s="6" t="inlineStr">
        <is>
          <t>DNA Replication and Communication</t>
        </is>
      </c>
      <c r="F69" s="6" t="n">
        <v>5</v>
      </c>
      <c r="G69" s="6" t="inlineStr">
        <is>
          <t>Semester</t>
        </is>
      </c>
      <c r="H69" s="6" t="inlineStr">
        <is>
          <t>Elective</t>
        </is>
      </c>
      <c r="I69" s="6" t="inlineStr">
        <is>
          <t>CAS BI 2TR</t>
        </is>
      </c>
      <c r="J69" s="6" t="n">
        <v>5</v>
      </c>
      <c r="K69" s="6" t="inlineStr">
        <is>
          <t>T</t>
        </is>
      </c>
      <c r="L69" s="6" t="inlineStr">
        <is>
          <t>EL-LOWOVERLAP</t>
        </is>
      </c>
      <c r="M69" s="6" t="n">
        <v>25</v>
      </c>
      <c r="N69" s="6" t="inlineStr">
        <is>
          <t>Evaluator BI-B</t>
        </is>
      </c>
      <c r="O69" s="6" t="inlineStr">
        <is>
          <t>Biology</t>
        </is>
      </c>
      <c r="P69" s="6" t="inlineStr">
        <is>
          <t>2025-11-04</t>
        </is>
      </c>
      <c r="Q69" s="6" t="inlineStr">
        <is>
          <t>2024-25</t>
        </is>
      </c>
      <c r="R69" s="6" t="inlineStr">
        <is>
          <t>Yes</t>
        </is>
      </c>
      <c r="S69" s="6" t="inlineStr">
        <is>
          <t>train</t>
        </is>
      </c>
      <c r="T69" s="6" t="inlineStr"/>
    </row>
    <row r="70">
      <c r="A70" s="6" t="inlineStr">
        <is>
          <t>D-0069</t>
        </is>
      </c>
      <c r="B70" s="6" t="inlineStr">
        <is>
          <t>NEU|MATH 3703</t>
        </is>
      </c>
      <c r="C70" s="6" t="inlineStr">
        <is>
          <t>NEU</t>
        </is>
      </c>
      <c r="D70" s="6" t="inlineStr">
        <is>
          <t>MATH 3703</t>
        </is>
      </c>
      <c r="E70" s="6" t="inlineStr">
        <is>
          <t>Brownian Motion and Constructions</t>
        </is>
      </c>
      <c r="F70" s="6" t="n">
        <v>4</v>
      </c>
      <c r="G70" s="6" t="inlineStr">
        <is>
          <t>Semester</t>
        </is>
      </c>
      <c r="H70" s="6" t="inlineStr">
        <is>
          <t>Elective</t>
        </is>
      </c>
      <c r="I70" s="6" t="inlineStr">
        <is>
          <t>CAS MA 2TR</t>
        </is>
      </c>
      <c r="J70" s="6" t="n">
        <v>4</v>
      </c>
      <c r="K70" s="6" t="inlineStr">
        <is>
          <t>T</t>
        </is>
      </c>
      <c r="L70" s="6" t="inlineStr">
        <is>
          <t>EL-LOWOVERLAP</t>
        </is>
      </c>
      <c r="M70" s="6" t="n">
        <v>25</v>
      </c>
      <c r="N70" s="6" t="inlineStr">
        <is>
          <t>Evaluator MA-B</t>
        </is>
      </c>
      <c r="O70" s="6" t="inlineStr">
        <is>
          <t>Mathematics</t>
        </is>
      </c>
      <c r="P70" s="6" t="inlineStr">
        <is>
          <t>2025-05-08</t>
        </is>
      </c>
      <c r="Q70" s="6" t="inlineStr">
        <is>
          <t>2023-24</t>
        </is>
      </c>
      <c r="R70" s="6" t="inlineStr">
        <is>
          <t>Yes</t>
        </is>
      </c>
      <c r="S70" s="6" t="inlineStr">
        <is>
          <t>train</t>
        </is>
      </c>
      <c r="T70" s="6" t="inlineStr"/>
    </row>
    <row r="71">
      <c r="A71" s="6" t="inlineStr">
        <is>
          <t>D-0070</t>
        </is>
      </c>
      <c r="B71" s="6" t="inlineStr">
        <is>
          <t>NYU|BIOL-UA 369</t>
        </is>
      </c>
      <c r="C71" s="6" t="inlineStr">
        <is>
          <t>NYU</t>
        </is>
      </c>
      <c r="D71" s="6" t="inlineStr">
        <is>
          <t>BIOL-UA 369</t>
        </is>
      </c>
      <c r="E71" s="6" t="inlineStr">
        <is>
          <t>Molecular Biology</t>
        </is>
      </c>
      <c r="F71" s="6" t="n">
        <v>4</v>
      </c>
      <c r="G71" s="6" t="inlineStr">
        <is>
          <t>Semester</t>
        </is>
      </c>
      <c r="H71" s="6" t="inlineStr">
        <is>
          <t>Equivalent</t>
        </is>
      </c>
      <c r="I71" s="6" t="inlineStr">
        <is>
          <t>CAS BI 350</t>
        </is>
      </c>
      <c r="J71" s="6" t="n">
        <v>4</v>
      </c>
      <c r="K71" s="6" t="inlineStr">
        <is>
          <t>T</t>
        </is>
      </c>
      <c r="L71" s="6" t="inlineStr">
        <is>
          <t>EQ-EVALUATOR</t>
        </is>
      </c>
      <c r="M71" s="6" t="n">
        <v>75</v>
      </c>
      <c r="N71" s="6" t="inlineStr">
        <is>
          <t>Evaluator BI-A</t>
        </is>
      </c>
      <c r="O71" s="6" t="inlineStr">
        <is>
          <t>Biology</t>
        </is>
      </c>
      <c r="P71" s="6" t="inlineStr">
        <is>
          <t>2025-08-05</t>
        </is>
      </c>
      <c r="Q71" s="6" t="inlineStr">
        <is>
          <t>2024-25</t>
        </is>
      </c>
      <c r="R71" s="6" t="inlineStr">
        <is>
          <t>Yes</t>
        </is>
      </c>
      <c r="S71" s="6" t="inlineStr">
        <is>
          <t>train</t>
        </is>
      </c>
      <c r="T71" s="6" t="inlineStr"/>
    </row>
    <row r="72">
      <c r="A72" s="6" t="inlineStr">
        <is>
          <t>D-0071</t>
        </is>
      </c>
      <c r="B72" s="6" t="inlineStr">
        <is>
          <t>NEU|BIOL 1703</t>
        </is>
      </c>
      <c r="C72" s="6" t="inlineStr">
        <is>
          <t>NEU</t>
        </is>
      </c>
      <c r="D72" s="6" t="inlineStr">
        <is>
          <t>BIOL 1703</t>
        </is>
      </c>
      <c r="E72" s="6" t="inlineStr">
        <is>
          <t>DNA Replication and Respiratory System</t>
        </is>
      </c>
      <c r="F72" s="6" t="n">
        <v>5</v>
      </c>
      <c r="G72" s="6" t="inlineStr">
        <is>
          <t>Semester</t>
        </is>
      </c>
      <c r="H72" s="6" t="inlineStr">
        <is>
          <t>Elective</t>
        </is>
      </c>
      <c r="I72" s="6" t="inlineStr">
        <is>
          <t>CAS BI 1TR</t>
        </is>
      </c>
      <c r="J72" s="6" t="n">
        <v>5</v>
      </c>
      <c r="K72" s="6" t="inlineStr">
        <is>
          <t>T</t>
        </is>
      </c>
      <c r="L72" s="6" t="inlineStr">
        <is>
          <t>EL-LOWOVERLAP</t>
        </is>
      </c>
      <c r="M72" s="6" t="n">
        <v>25</v>
      </c>
      <c r="N72" s="6" t="inlineStr">
        <is>
          <t>Evaluator BI-B</t>
        </is>
      </c>
      <c r="O72" s="6" t="inlineStr">
        <is>
          <t>Biology</t>
        </is>
      </c>
      <c r="P72" s="6" t="inlineStr">
        <is>
          <t>2025-06-22</t>
        </is>
      </c>
      <c r="Q72" s="6" t="inlineStr">
        <is>
          <t>2023-24</t>
        </is>
      </c>
      <c r="R72" s="6" t="inlineStr">
        <is>
          <t>No</t>
        </is>
      </c>
      <c r="S72" s="6" t="inlineStr">
        <is>
          <t>holdout</t>
        </is>
      </c>
      <c r="T72" s="6" t="inlineStr"/>
    </row>
    <row r="73">
      <c r="A73" s="6" t="inlineStr">
        <is>
          <t>D-0072</t>
        </is>
      </c>
      <c r="B73" s="6" t="inlineStr">
        <is>
          <t>NEU|ECON 3706</t>
        </is>
      </c>
      <c r="C73" s="6" t="inlineStr">
        <is>
          <t>NEU</t>
        </is>
      </c>
      <c r="D73" s="6" t="inlineStr">
        <is>
          <t>ECON 3706</t>
        </is>
      </c>
      <c r="E73" s="6" t="inlineStr">
        <is>
          <t>Agriculture and Political Cycles</t>
        </is>
      </c>
      <c r="F73" s="6" t="n">
        <v>4</v>
      </c>
      <c r="G73" s="6" t="inlineStr">
        <is>
          <t>Semester</t>
        </is>
      </c>
      <c r="H73" s="6" t="inlineStr">
        <is>
          <t>Elective</t>
        </is>
      </c>
      <c r="I73" s="6" t="inlineStr">
        <is>
          <t>CAS EC 2TR</t>
        </is>
      </c>
      <c r="J73" s="6" t="n">
        <v>4</v>
      </c>
      <c r="K73" s="6" t="inlineStr">
        <is>
          <t>T</t>
        </is>
      </c>
      <c r="L73" s="6" t="inlineStr">
        <is>
          <t>EL-LOWOVERLAP</t>
        </is>
      </c>
      <c r="M73" s="6" t="n">
        <v>25</v>
      </c>
      <c r="N73" s="6" t="inlineStr">
        <is>
          <t>Evaluator EC-A</t>
        </is>
      </c>
      <c r="O73" s="6" t="inlineStr">
        <is>
          <t>Economics</t>
        </is>
      </c>
      <c r="P73" s="6" t="inlineStr">
        <is>
          <t>2024-09-08</t>
        </is>
      </c>
      <c r="Q73" s="6" t="inlineStr">
        <is>
          <t>2023-24</t>
        </is>
      </c>
      <c r="R73" s="6" t="inlineStr">
        <is>
          <t>No</t>
        </is>
      </c>
      <c r="S73" s="6" t="inlineStr">
        <is>
          <t>holdout</t>
        </is>
      </c>
      <c r="T73" s="6" t="inlineStr"/>
    </row>
    <row r="74">
      <c r="A74" s="6" t="inlineStr">
        <is>
          <t>D-0073</t>
        </is>
      </c>
      <c r="B74" s="6" t="inlineStr">
        <is>
          <t>NEU|PSYC 1703</t>
        </is>
      </c>
      <c r="C74" s="6" t="inlineStr">
        <is>
          <t>NEU</t>
        </is>
      </c>
      <c r="D74" s="6" t="inlineStr">
        <is>
          <t>PSYC 1703</t>
        </is>
      </c>
      <c r="E74" s="6" t="inlineStr">
        <is>
          <t>Anxiety Disorders and Decision Making</t>
        </is>
      </c>
      <c r="F74" s="6" t="n">
        <v>4</v>
      </c>
      <c r="G74" s="6" t="inlineStr">
        <is>
          <t>Semester</t>
        </is>
      </c>
      <c r="H74" s="6" t="inlineStr">
        <is>
          <t>Elective</t>
        </is>
      </c>
      <c r="I74" s="6" t="inlineStr">
        <is>
          <t>CAS PS 1TR</t>
        </is>
      </c>
      <c r="J74" s="6" t="n">
        <v>4</v>
      </c>
      <c r="K74" s="6" t="inlineStr">
        <is>
          <t>T</t>
        </is>
      </c>
      <c r="L74" s="6" t="inlineStr">
        <is>
          <t>EL-LOWOVERLAP</t>
        </is>
      </c>
      <c r="M74" s="6" t="n">
        <v>25</v>
      </c>
      <c r="N74" s="6" t="inlineStr">
        <is>
          <t>Evaluator PS-A</t>
        </is>
      </c>
      <c r="O74" s="6" t="inlineStr">
        <is>
          <t>Psychology</t>
        </is>
      </c>
      <c r="P74" s="6" t="inlineStr">
        <is>
          <t>2025-06-09</t>
        </is>
      </c>
      <c r="Q74" s="6" t="inlineStr">
        <is>
          <t>2023-24</t>
        </is>
      </c>
      <c r="R74" s="6" t="inlineStr">
        <is>
          <t>No</t>
        </is>
      </c>
      <c r="S74" s="6" t="inlineStr">
        <is>
          <t>holdout</t>
        </is>
      </c>
      <c r="T74" s="6" t="inlineStr"/>
    </row>
    <row r="75">
      <c r="A75" s="6" t="inlineStr">
        <is>
          <t>D-0074</t>
        </is>
      </c>
      <c r="B75" s="6" t="inlineStr">
        <is>
          <t>NEU|BIOL 3706</t>
        </is>
      </c>
      <c r="C75" s="6" t="inlineStr">
        <is>
          <t>NEU</t>
        </is>
      </c>
      <c r="D75" s="6" t="inlineStr">
        <is>
          <t>BIOL 3706</t>
        </is>
      </c>
      <c r="E75" s="6" t="inlineStr">
        <is>
          <t>Aromatic Compounds and Mammals</t>
        </is>
      </c>
      <c r="F75" s="6" t="n">
        <v>5</v>
      </c>
      <c r="G75" s="6" t="inlineStr">
        <is>
          <t>Semester</t>
        </is>
      </c>
      <c r="H75" s="6" t="inlineStr">
        <is>
          <t>Elective</t>
        </is>
      </c>
      <c r="I75" s="6" t="inlineStr">
        <is>
          <t>CAS BI 2TR</t>
        </is>
      </c>
      <c r="J75" s="6" t="n">
        <v>5</v>
      </c>
      <c r="K75" s="6" t="inlineStr">
        <is>
          <t>T</t>
        </is>
      </c>
      <c r="L75" s="6" t="inlineStr">
        <is>
          <t>EL-LOWOVERLAP</t>
        </is>
      </c>
      <c r="M75" s="6" t="n">
        <v>38</v>
      </c>
      <c r="N75" s="6" t="inlineStr">
        <is>
          <t>Evaluator BI-B</t>
        </is>
      </c>
      <c r="O75" s="6" t="inlineStr">
        <is>
          <t>Biology</t>
        </is>
      </c>
      <c r="P75" s="6" t="inlineStr">
        <is>
          <t>2024-10-15</t>
        </is>
      </c>
      <c r="Q75" s="6" t="inlineStr">
        <is>
          <t>2024-25</t>
        </is>
      </c>
      <c r="R75" s="6" t="inlineStr">
        <is>
          <t>No</t>
        </is>
      </c>
      <c r="S75" s="6" t="inlineStr">
        <is>
          <t>holdout</t>
        </is>
      </c>
      <c r="T75" s="6" t="inlineStr"/>
    </row>
    <row r="76">
      <c r="A76" s="6" t="inlineStr">
        <is>
          <t>D-0075</t>
        </is>
      </c>
      <c r="B76" s="6" t="inlineStr">
        <is>
          <t>NEU|ECON 2715</t>
        </is>
      </c>
      <c r="C76" s="6" t="inlineStr">
        <is>
          <t>NEU</t>
        </is>
      </c>
      <c r="D76" s="6" t="inlineStr">
        <is>
          <t>ECON 2715</t>
        </is>
      </c>
      <c r="E76" s="6" t="inlineStr">
        <is>
          <t>Bank Regulation and Tariffs and Quotas</t>
        </is>
      </c>
      <c r="F76" s="6" t="n">
        <v>4</v>
      </c>
      <c r="G76" s="6" t="inlineStr">
        <is>
          <t>Semester</t>
        </is>
      </c>
      <c r="H76" s="6" t="inlineStr">
        <is>
          <t>Elective</t>
        </is>
      </c>
      <c r="I76" s="6" t="inlineStr">
        <is>
          <t>CAS EC 2TR</t>
        </is>
      </c>
      <c r="J76" s="6" t="n">
        <v>4</v>
      </c>
      <c r="K76" s="6" t="inlineStr">
        <is>
          <t>T</t>
        </is>
      </c>
      <c r="L76" s="6" t="inlineStr">
        <is>
          <t>EL-LOWOVERLAP</t>
        </is>
      </c>
      <c r="M76" s="6" t="n">
        <v>38</v>
      </c>
      <c r="N76" s="6" t="inlineStr">
        <is>
          <t>Evaluator EC-A</t>
        </is>
      </c>
      <c r="O76" s="6" t="inlineStr">
        <is>
          <t>Economics</t>
        </is>
      </c>
      <c r="P76" s="6" t="inlineStr">
        <is>
          <t>2025-08-15</t>
        </is>
      </c>
      <c r="Q76" s="6" t="inlineStr">
        <is>
          <t>2023-24</t>
        </is>
      </c>
      <c r="R76" s="6" t="inlineStr">
        <is>
          <t>No</t>
        </is>
      </c>
      <c r="S76" s="6" t="inlineStr">
        <is>
          <t>holdout</t>
        </is>
      </c>
      <c r="T76" s="6" t="inlineStr"/>
    </row>
    <row r="77">
      <c r="A77" s="6" t="inlineStr">
        <is>
          <t>D-0076</t>
        </is>
      </c>
      <c r="B77" s="6" t="inlineStr">
        <is>
          <t>NEU|PSYC 3709</t>
        </is>
      </c>
      <c r="C77" s="6" t="inlineStr">
        <is>
          <t>NEU</t>
        </is>
      </c>
      <c r="D77" s="6" t="inlineStr">
        <is>
          <t>PSYC 3709</t>
        </is>
      </c>
      <c r="E77" s="6" t="inlineStr">
        <is>
          <t>Adolescence and Childhood Depression</t>
        </is>
      </c>
      <c r="F77" s="6" t="n">
        <v>4</v>
      </c>
      <c r="G77" s="6" t="inlineStr">
        <is>
          <t>Semester</t>
        </is>
      </c>
      <c r="H77" s="6" t="inlineStr">
        <is>
          <t>Elective</t>
        </is>
      </c>
      <c r="I77" s="6" t="inlineStr">
        <is>
          <t>CAS PS 2TR</t>
        </is>
      </c>
      <c r="J77" s="6" t="n">
        <v>4</v>
      </c>
      <c r="K77" s="6" t="inlineStr">
        <is>
          <t>T</t>
        </is>
      </c>
      <c r="L77" s="6" t="inlineStr">
        <is>
          <t>EL-LOWOVERLAP</t>
        </is>
      </c>
      <c r="M77" s="6" t="n">
        <v>38</v>
      </c>
      <c r="N77" s="6" t="inlineStr">
        <is>
          <t>Evaluator PS-B</t>
        </is>
      </c>
      <c r="O77" s="6" t="inlineStr">
        <is>
          <t>Psychology</t>
        </is>
      </c>
      <c r="P77" s="6" t="inlineStr">
        <is>
          <t>2025-01-12</t>
        </is>
      </c>
      <c r="Q77" s="6" t="inlineStr">
        <is>
          <t>2023-24</t>
        </is>
      </c>
      <c r="R77" s="6" t="inlineStr">
        <is>
          <t>No</t>
        </is>
      </c>
      <c r="S77" s="6" t="inlineStr">
        <is>
          <t>holdout</t>
        </is>
      </c>
      <c r="T77" s="6" t="inlineStr"/>
    </row>
    <row r="78">
      <c r="A78" s="6" t="inlineStr">
        <is>
          <t>D-0077</t>
        </is>
      </c>
      <c r="B78" s="6" t="inlineStr">
        <is>
          <t>NYU|PSYCH-UA 163</t>
        </is>
      </c>
      <c r="C78" s="6" t="inlineStr">
        <is>
          <t>NYU</t>
        </is>
      </c>
      <c r="D78" s="6" t="inlineStr">
        <is>
          <t>PSYCH-UA 163</t>
        </is>
      </c>
      <c r="E78" s="3" t="inlineStr">
        <is>
          <t>Auditory Perception and Social Media and Youth</t>
        </is>
      </c>
      <c r="F78" s="6" t="n">
        <v>4</v>
      </c>
      <c r="G78" s="6" t="inlineStr">
        <is>
          <t>Semester</t>
        </is>
      </c>
      <c r="H78" s="6" t="inlineStr">
        <is>
          <t>Elective</t>
        </is>
      </c>
      <c r="I78" s="6" t="inlineStr">
        <is>
          <t>CAS PS 2TR</t>
        </is>
      </c>
      <c r="J78" s="6" t="n">
        <v>4</v>
      </c>
      <c r="K78" s="6" t="inlineStr">
        <is>
          <t>T</t>
        </is>
      </c>
      <c r="L78" s="6" t="inlineStr">
        <is>
          <t>EL-LOWOVERLAP</t>
        </is>
      </c>
      <c r="M78" s="6" t="n">
        <v>38</v>
      </c>
      <c r="N78" s="6" t="inlineStr">
        <is>
          <t>Evaluator PS-B</t>
        </is>
      </c>
      <c r="O78" s="6" t="inlineStr">
        <is>
          <t>Psychology</t>
        </is>
      </c>
      <c r="P78" s="6" t="inlineStr">
        <is>
          <t>2024-09-04</t>
        </is>
      </c>
      <c r="Q78" s="6" t="inlineStr">
        <is>
          <t>2024-25</t>
        </is>
      </c>
      <c r="R78" s="6" t="inlineStr">
        <is>
          <t>No</t>
        </is>
      </c>
      <c r="S78" s="6" t="inlineStr">
        <is>
          <t>holdout</t>
        </is>
      </c>
      <c r="T78" s="6" t="inlineStr"/>
    </row>
    <row r="79">
      <c r="A79" s="6" t="inlineStr">
        <is>
          <t>D-0078</t>
        </is>
      </c>
      <c r="B79" s="6" t="inlineStr">
        <is>
          <t>NEU|ECON 2709</t>
        </is>
      </c>
      <c r="C79" s="6" t="inlineStr">
        <is>
          <t>NEU</t>
        </is>
      </c>
      <c r="D79" s="6" t="inlineStr">
        <is>
          <t>ECON 2709</t>
        </is>
      </c>
      <c r="E79" s="3" t="inlineStr">
        <is>
          <t>Aggregate Demand and Supply and Government Policy</t>
        </is>
      </c>
      <c r="F79" s="6" t="n">
        <v>4</v>
      </c>
      <c r="G79" s="6" t="inlineStr">
        <is>
          <t>Semester</t>
        </is>
      </c>
      <c r="H79" s="6" t="inlineStr">
        <is>
          <t>Elective</t>
        </is>
      </c>
      <c r="I79" s="6" t="inlineStr">
        <is>
          <t>CAS EC 2TR</t>
        </is>
      </c>
      <c r="J79" s="6" t="n">
        <v>4</v>
      </c>
      <c r="K79" s="6" t="inlineStr">
        <is>
          <t>T</t>
        </is>
      </c>
      <c r="L79" s="6" t="inlineStr">
        <is>
          <t>EL-PARTIAL</t>
        </is>
      </c>
      <c r="M79" s="6" t="n">
        <v>50</v>
      </c>
      <c r="N79" s="6" t="inlineStr">
        <is>
          <t>Evaluator EC-B</t>
        </is>
      </c>
      <c r="O79" s="6" t="inlineStr">
        <is>
          <t>Economics</t>
        </is>
      </c>
      <c r="P79" s="6" t="inlineStr">
        <is>
          <t>2025-12-24</t>
        </is>
      </c>
      <c r="Q79" s="6" t="inlineStr">
        <is>
          <t>2023-24</t>
        </is>
      </c>
      <c r="R79" s="6" t="inlineStr">
        <is>
          <t>No</t>
        </is>
      </c>
      <c r="S79" s="6" t="inlineStr">
        <is>
          <t>holdout</t>
        </is>
      </c>
      <c r="T79" s="6" t="inlineStr"/>
    </row>
    <row r="80">
      <c r="A80" s="6" t="inlineStr">
        <is>
          <t>D-0079</t>
        </is>
      </c>
      <c r="B80" s="6" t="inlineStr">
        <is>
          <t>NYU|CSCI-UA 363</t>
        </is>
      </c>
      <c r="C80" s="6" t="inlineStr">
        <is>
          <t>NYU</t>
        </is>
      </c>
      <c r="D80" s="6" t="inlineStr">
        <is>
          <t>CSCI-UA 363</t>
        </is>
      </c>
      <c r="E80" s="6" t="inlineStr">
        <is>
          <t>NP-completeness and Optimization</t>
        </is>
      </c>
      <c r="F80" s="6" t="n">
        <v>4</v>
      </c>
      <c r="G80" s="6" t="inlineStr">
        <is>
          <t>Semester</t>
        </is>
      </c>
      <c r="H80" s="6" t="inlineStr">
        <is>
          <t>Elective</t>
        </is>
      </c>
      <c r="I80" s="6" t="inlineStr">
        <is>
          <t>CAS CS 2TR</t>
        </is>
      </c>
      <c r="J80" s="6" t="n">
        <v>4</v>
      </c>
      <c r="K80" s="6" t="inlineStr">
        <is>
          <t>T</t>
        </is>
      </c>
      <c r="L80" s="6" t="inlineStr">
        <is>
          <t>EL-PARTIAL</t>
        </is>
      </c>
      <c r="M80" s="6" t="n">
        <v>50</v>
      </c>
      <c r="N80" s="6" t="inlineStr">
        <is>
          <t>Evaluator CS-A</t>
        </is>
      </c>
      <c r="O80" s="6" t="inlineStr">
        <is>
          <t>Computer Science</t>
        </is>
      </c>
      <c r="P80" s="6" t="inlineStr">
        <is>
          <t>2024-12-09</t>
        </is>
      </c>
      <c r="Q80" s="6" t="inlineStr">
        <is>
          <t>2023-24</t>
        </is>
      </c>
      <c r="R80" s="6" t="inlineStr">
        <is>
          <t>No</t>
        </is>
      </c>
      <c r="S80" s="6" t="inlineStr">
        <is>
          <t>holdout</t>
        </is>
      </c>
      <c r="T80" s="6" t="inlineStr"/>
    </row>
    <row r="81">
      <c r="A81" s="6" t="inlineStr">
        <is>
          <t>D-0080</t>
        </is>
      </c>
      <c r="B81" s="6" t="inlineStr">
        <is>
          <t>NEU|CS 3100</t>
        </is>
      </c>
      <c r="C81" s="6" t="inlineStr">
        <is>
          <t>NEU</t>
        </is>
      </c>
      <c r="D81" s="6" t="inlineStr">
        <is>
          <t>CS 3100</t>
        </is>
      </c>
      <c r="E81" s="6" t="inlineStr">
        <is>
          <t>Program Design and Implementation 2</t>
        </is>
      </c>
      <c r="F81" s="6" t="n">
        <v>5</v>
      </c>
      <c r="G81" s="6" t="inlineStr">
        <is>
          <t>Semester</t>
        </is>
      </c>
      <c r="H81" s="6" t="inlineStr">
        <is>
          <t>Elective</t>
        </is>
      </c>
      <c r="I81" s="6" t="inlineStr">
        <is>
          <t>CAS CS 2TR</t>
        </is>
      </c>
      <c r="J81" s="6" t="n">
        <v>5</v>
      </c>
      <c r="K81" s="6" t="inlineStr">
        <is>
          <t>T</t>
        </is>
      </c>
      <c r="L81" s="6" t="inlineStr">
        <is>
          <t>EL-PARTIAL</t>
        </is>
      </c>
      <c r="M81" s="6" t="n">
        <v>62</v>
      </c>
      <c r="N81" s="6" t="inlineStr">
        <is>
          <t>Evaluator CS-B</t>
        </is>
      </c>
      <c r="O81" s="6" t="inlineStr">
        <is>
          <t>Computer Science</t>
        </is>
      </c>
      <c r="P81" s="6" t="inlineStr">
        <is>
          <t>2025-02-06</t>
        </is>
      </c>
      <c r="Q81" s="6" t="inlineStr">
        <is>
          <t>2023-24</t>
        </is>
      </c>
      <c r="R81" s="6" t="inlineStr">
        <is>
          <t>No</t>
        </is>
      </c>
      <c r="S81" s="6" t="inlineStr">
        <is>
          <t>holdout</t>
        </is>
      </c>
      <c r="T81" s="6" t="inlineStr"/>
    </row>
    <row r="82">
      <c r="A82" s="6" t="inlineStr">
        <is>
          <t>D-0081</t>
        </is>
      </c>
      <c r="B82" s="6" t="inlineStr">
        <is>
          <t>NEU|PSYC 2320</t>
        </is>
      </c>
      <c r="C82" s="6" t="inlineStr">
        <is>
          <t>NEU</t>
        </is>
      </c>
      <c r="D82" s="6" t="inlineStr">
        <is>
          <t>PSYC 2320</t>
        </is>
      </c>
      <c r="E82" s="6" t="inlineStr">
        <is>
          <t>Statistics in Psychological Research</t>
        </is>
      </c>
      <c r="F82" s="6" t="n">
        <v>4</v>
      </c>
      <c r="G82" s="6" t="inlineStr">
        <is>
          <t>Semester</t>
        </is>
      </c>
      <c r="H82" s="6" t="inlineStr">
        <is>
          <t>Elective</t>
        </is>
      </c>
      <c r="I82" s="6" t="inlineStr">
        <is>
          <t>CAS PS 2TR</t>
        </is>
      </c>
      <c r="J82" s="6" t="n">
        <v>4</v>
      </c>
      <c r="K82" s="6" t="inlineStr">
        <is>
          <t>T</t>
        </is>
      </c>
      <c r="L82" s="6" t="inlineStr">
        <is>
          <t>EL-PARTIAL</t>
        </is>
      </c>
      <c r="M82" s="6" t="n">
        <v>62</v>
      </c>
      <c r="N82" s="6" t="inlineStr">
        <is>
          <t>Evaluator PS-A</t>
        </is>
      </c>
      <c r="O82" s="6" t="inlineStr">
        <is>
          <t>Psychology</t>
        </is>
      </c>
      <c r="P82" s="6" t="inlineStr">
        <is>
          <t>2025-07-21</t>
        </is>
      </c>
      <c r="Q82" s="6" t="inlineStr">
        <is>
          <t>2023-24</t>
        </is>
      </c>
      <c r="R82" s="6" t="inlineStr">
        <is>
          <t>No</t>
        </is>
      </c>
      <c r="S82" s="6" t="inlineStr">
        <is>
          <t>holdout</t>
        </is>
      </c>
      <c r="T82" s="6" t="inlineStr"/>
    </row>
    <row r="83">
      <c r="A83" s="6" t="inlineStr">
        <is>
          <t>D-0082</t>
        </is>
      </c>
      <c r="B83" s="6" t="inlineStr">
        <is>
          <t>NYU|CSCI-UA 63</t>
        </is>
      </c>
      <c r="C83" s="6" t="inlineStr">
        <is>
          <t>NYU</t>
        </is>
      </c>
      <c r="D83" s="6" t="inlineStr">
        <is>
          <t>CSCI-UA 63</t>
        </is>
      </c>
      <c r="E83" s="6" t="inlineStr">
        <is>
          <t>Web Development Foundations</t>
        </is>
      </c>
      <c r="F83" s="6" t="n">
        <v>4</v>
      </c>
      <c r="G83" s="6" t="inlineStr">
        <is>
          <t>Semester</t>
        </is>
      </c>
      <c r="H83" s="6" t="inlineStr">
        <is>
          <t>Elective</t>
        </is>
      </c>
      <c r="I83" s="6" t="inlineStr">
        <is>
          <t>CAS CS 1TR</t>
        </is>
      </c>
      <c r="J83" s="6" t="n">
        <v>4</v>
      </c>
      <c r="K83" s="6" t="inlineStr">
        <is>
          <t>T</t>
        </is>
      </c>
      <c r="L83" s="6" t="inlineStr">
        <is>
          <t>EL-PARTIAL</t>
        </is>
      </c>
      <c r="M83" s="6" t="n">
        <v>62</v>
      </c>
      <c r="N83" s="6" t="inlineStr">
        <is>
          <t>Evaluator CS-A</t>
        </is>
      </c>
      <c r="O83" s="6" t="inlineStr">
        <is>
          <t>Computer Science</t>
        </is>
      </c>
      <c r="P83" s="6" t="inlineStr">
        <is>
          <t>2025-04-10</t>
        </is>
      </c>
      <c r="Q83" s="6" t="inlineStr">
        <is>
          <t>2024-25</t>
        </is>
      </c>
      <c r="R83" s="6" t="inlineStr">
        <is>
          <t>No</t>
        </is>
      </c>
      <c r="S83" s="6" t="inlineStr">
        <is>
          <t>holdout</t>
        </is>
      </c>
      <c r="T83" s="6" t="inlineStr"/>
    </row>
    <row r="84">
      <c r="A84" s="6" t="inlineStr">
        <is>
          <t>D-0083</t>
        </is>
      </c>
      <c r="B84" s="6" t="inlineStr">
        <is>
          <t>NYU|MATH-UA 375</t>
        </is>
      </c>
      <c r="C84" s="6" t="inlineStr">
        <is>
          <t>NYU</t>
        </is>
      </c>
      <c r="D84" s="6" t="inlineStr">
        <is>
          <t>MATH-UA 375</t>
        </is>
      </c>
      <c r="E84" s="6" t="inlineStr">
        <is>
          <t>Geometry</t>
        </is>
      </c>
      <c r="F84" s="6" t="n">
        <v>4</v>
      </c>
      <c r="G84" s="6" t="inlineStr">
        <is>
          <t>Semester</t>
        </is>
      </c>
      <c r="H84" s="6" t="inlineStr">
        <is>
          <t>Elective</t>
        </is>
      </c>
      <c r="I84" s="6" t="inlineStr">
        <is>
          <t>CAS MA 2TR</t>
        </is>
      </c>
      <c r="J84" s="6" t="n">
        <v>4</v>
      </c>
      <c r="K84" s="6" t="inlineStr">
        <is>
          <t>T</t>
        </is>
      </c>
      <c r="L84" s="6" t="inlineStr">
        <is>
          <t>EL-PARTIAL</t>
        </is>
      </c>
      <c r="M84" s="6" t="n">
        <v>62</v>
      </c>
      <c r="N84" s="6" t="inlineStr">
        <is>
          <t>Evaluator MA-B</t>
        </is>
      </c>
      <c r="O84" s="6" t="inlineStr">
        <is>
          <t>Mathematics</t>
        </is>
      </c>
      <c r="P84" s="6" t="inlineStr">
        <is>
          <t>2025-03-22</t>
        </is>
      </c>
      <c r="Q84" s="6" t="inlineStr">
        <is>
          <t>2024-25</t>
        </is>
      </c>
      <c r="R84" s="6" t="inlineStr">
        <is>
          <t>No</t>
        </is>
      </c>
      <c r="S84" s="6" t="inlineStr">
        <is>
          <t>holdout</t>
        </is>
      </c>
      <c r="T84" s="6" t="inlineStr"/>
    </row>
    <row r="85">
      <c r="A85" s="6" t="inlineStr">
        <is>
          <t>D-0084</t>
        </is>
      </c>
      <c r="B85" s="6" t="inlineStr">
        <is>
          <t>NEU|ECON 2560</t>
        </is>
      </c>
      <c r="C85" s="6" t="inlineStr">
        <is>
          <t>NEU</t>
        </is>
      </c>
      <c r="D85" s="6" t="inlineStr">
        <is>
          <t>ECON 2560</t>
        </is>
      </c>
      <c r="E85" s="6" t="inlineStr">
        <is>
          <t>Applied Econometrics</t>
        </is>
      </c>
      <c r="F85" s="6" t="n">
        <v>4</v>
      </c>
      <c r="G85" s="6" t="inlineStr">
        <is>
          <t>Semester</t>
        </is>
      </c>
      <c r="H85" s="6" t="inlineStr">
        <is>
          <t>Equivalent</t>
        </is>
      </c>
      <c r="I85" s="6" t="inlineStr">
        <is>
          <t>CAS EC 204</t>
        </is>
      </c>
      <c r="J85" s="6" t="n">
        <v>4</v>
      </c>
      <c r="K85" s="6" t="inlineStr">
        <is>
          <t>T</t>
        </is>
      </c>
      <c r="L85" s="6" t="inlineStr">
        <is>
          <t>EQ-EVALUATOR</t>
        </is>
      </c>
      <c r="M85" s="6" t="n">
        <v>75</v>
      </c>
      <c r="N85" s="6" t="inlineStr">
        <is>
          <t>Evaluator EC-B</t>
        </is>
      </c>
      <c r="O85" s="6" t="inlineStr">
        <is>
          <t>Economics</t>
        </is>
      </c>
      <c r="P85" s="6" t="inlineStr">
        <is>
          <t>2025-03-04</t>
        </is>
      </c>
      <c r="Q85" s="6" t="inlineStr">
        <is>
          <t>2023-24</t>
        </is>
      </c>
      <c r="R85" s="6" t="inlineStr">
        <is>
          <t>No</t>
        </is>
      </c>
      <c r="S85" s="6" t="inlineStr">
        <is>
          <t>holdout</t>
        </is>
      </c>
      <c r="T85" s="6" t="inlineStr"/>
    </row>
    <row r="86">
      <c r="A86" s="6" t="inlineStr">
        <is>
          <t>D-0085</t>
        </is>
      </c>
      <c r="B86" s="6" t="inlineStr">
        <is>
          <t>NEU|MATH 2341</t>
        </is>
      </c>
      <c r="C86" s="6" t="inlineStr">
        <is>
          <t>NEU</t>
        </is>
      </c>
      <c r="D86" s="6" t="inlineStr">
        <is>
          <t>MATH 2341</t>
        </is>
      </c>
      <c r="E86" s="3" t="inlineStr">
        <is>
          <t>Differential Equations and Linear Algebra for Engineering</t>
        </is>
      </c>
      <c r="F86" s="6" t="n">
        <v>4</v>
      </c>
      <c r="G86" s="6" t="inlineStr">
        <is>
          <t>Semester</t>
        </is>
      </c>
      <c r="H86" s="6" t="inlineStr">
        <is>
          <t>Equivalent</t>
        </is>
      </c>
      <c r="I86" s="6" t="inlineStr">
        <is>
          <t>CAS MA 226</t>
        </is>
      </c>
      <c r="J86" s="6" t="n">
        <v>4</v>
      </c>
      <c r="K86" s="6" t="inlineStr">
        <is>
          <t>T</t>
        </is>
      </c>
      <c r="L86" s="6" t="inlineStr">
        <is>
          <t>EQ-EVALUATOR</t>
        </is>
      </c>
      <c r="M86" s="6" t="n">
        <v>75</v>
      </c>
      <c r="N86" s="6" t="inlineStr">
        <is>
          <t>Evaluator MA-A</t>
        </is>
      </c>
      <c r="O86" s="6" t="inlineStr">
        <is>
          <t>Mathematics</t>
        </is>
      </c>
      <c r="P86" s="6" t="inlineStr">
        <is>
          <t>2025-11-25</t>
        </is>
      </c>
      <c r="Q86" s="6" t="inlineStr">
        <is>
          <t>2023-24</t>
        </is>
      </c>
      <c r="R86" s="6" t="inlineStr">
        <is>
          <t>No</t>
        </is>
      </c>
      <c r="S86" s="6" t="inlineStr">
        <is>
          <t>holdout</t>
        </is>
      </c>
      <c r="T86" s="6" t="inlineStr"/>
    </row>
    <row r="87">
      <c r="A87" s="6" t="inlineStr">
        <is>
          <t>D-0086</t>
        </is>
      </c>
      <c r="B87" s="6" t="inlineStr">
        <is>
          <t>NYU|CHEM-UA 163</t>
        </is>
      </c>
      <c r="C87" s="6" t="inlineStr">
        <is>
          <t>NYU</t>
        </is>
      </c>
      <c r="D87" s="6" t="inlineStr">
        <is>
          <t>CHEM-UA 163</t>
        </is>
      </c>
      <c r="E87" s="6" t="inlineStr">
        <is>
          <t>Analytical Chemistry</t>
        </is>
      </c>
      <c r="F87" s="6" t="n">
        <v>4</v>
      </c>
      <c r="G87" s="6" t="inlineStr">
        <is>
          <t>Semester</t>
        </is>
      </c>
      <c r="H87" s="6" t="inlineStr">
        <is>
          <t>Equivalent</t>
        </is>
      </c>
      <c r="I87" s="6" t="inlineStr">
        <is>
          <t>CAS CH 211</t>
        </is>
      </c>
      <c r="J87" s="6" t="n">
        <v>4</v>
      </c>
      <c r="K87" s="6" t="inlineStr">
        <is>
          <t>T</t>
        </is>
      </c>
      <c r="L87" s="6" t="inlineStr">
        <is>
          <t>EQ-EVALUATOR</t>
        </is>
      </c>
      <c r="M87" s="6" t="n">
        <v>75</v>
      </c>
      <c r="N87" s="6" t="inlineStr">
        <is>
          <t>Evaluator BI-B</t>
        </is>
      </c>
      <c r="O87" s="6" t="inlineStr">
        <is>
          <t>Biology</t>
        </is>
      </c>
      <c r="P87" s="6" t="inlineStr">
        <is>
          <t>2025-01-11</t>
        </is>
      </c>
      <c r="Q87" s="6" t="inlineStr">
        <is>
          <t>2023-24</t>
        </is>
      </c>
      <c r="R87" s="6" t="inlineStr">
        <is>
          <t>No</t>
        </is>
      </c>
      <c r="S87" s="6" t="inlineStr">
        <is>
          <t>holdout</t>
        </is>
      </c>
      <c r="T87" s="6" t="inlineStr"/>
    </row>
    <row r="88">
      <c r="A88" s="6" t="inlineStr">
        <is>
          <t>D-0087</t>
        </is>
      </c>
      <c r="B88" s="6" t="inlineStr">
        <is>
          <t>NYU|MATH-UA 235</t>
        </is>
      </c>
      <c r="C88" s="6" t="inlineStr">
        <is>
          <t>NYU</t>
        </is>
      </c>
      <c r="D88" s="6" t="inlineStr">
        <is>
          <t>MATH-UA 235</t>
        </is>
      </c>
      <c r="E88" s="6" t="inlineStr">
        <is>
          <t>Probability &amp; Statistics</t>
        </is>
      </c>
      <c r="F88" s="6" t="n">
        <v>4</v>
      </c>
      <c r="G88" s="6" t="inlineStr">
        <is>
          <t>Semester</t>
        </is>
      </c>
      <c r="H88" s="6" t="inlineStr">
        <is>
          <t>Equivalent</t>
        </is>
      </c>
      <c r="I88" s="6" t="inlineStr">
        <is>
          <t>CAS MA 213</t>
        </is>
      </c>
      <c r="J88" s="6" t="n">
        <v>4</v>
      </c>
      <c r="K88" s="6" t="inlineStr">
        <is>
          <t>T</t>
        </is>
      </c>
      <c r="L88" s="6" t="inlineStr">
        <is>
          <t>EQ-EVALUATOR</t>
        </is>
      </c>
      <c r="M88" s="6" t="n">
        <v>75</v>
      </c>
      <c r="N88" s="6" t="inlineStr">
        <is>
          <t>Evaluator MA-A</t>
        </is>
      </c>
      <c r="O88" s="6" t="inlineStr">
        <is>
          <t>Mathematics</t>
        </is>
      </c>
      <c r="P88" s="6" t="inlineStr">
        <is>
          <t>2025-01-08</t>
        </is>
      </c>
      <c r="Q88" s="6" t="inlineStr">
        <is>
          <t>2023-24</t>
        </is>
      </c>
      <c r="R88" s="6" t="inlineStr">
        <is>
          <t>No</t>
        </is>
      </c>
      <c r="S88" s="6" t="inlineStr">
        <is>
          <t>holdout</t>
        </is>
      </c>
      <c r="T88" s="6" t="inlineStr"/>
    </row>
    <row r="89">
      <c r="A89" s="6" t="inlineStr">
        <is>
          <t>D-0088</t>
        </is>
      </c>
      <c r="B89" s="6" t="inlineStr">
        <is>
          <t>NYU|MATH-UA 384</t>
        </is>
      </c>
      <c r="C89" s="6" t="inlineStr">
        <is>
          <t>NYU</t>
        </is>
      </c>
      <c r="D89" s="6" t="inlineStr">
        <is>
          <t>MATH-UA 384</t>
        </is>
      </c>
      <c r="E89" s="6" t="inlineStr">
        <is>
          <t>Combinatorics</t>
        </is>
      </c>
      <c r="F89" s="6" t="n">
        <v>4</v>
      </c>
      <c r="G89" s="6" t="inlineStr">
        <is>
          <t>Semester</t>
        </is>
      </c>
      <c r="H89" s="6" t="inlineStr">
        <is>
          <t>Equivalent</t>
        </is>
      </c>
      <c r="I89" s="6" t="inlineStr">
        <is>
          <t>CAS MA 370</t>
        </is>
      </c>
      <c r="J89" s="6" t="n">
        <v>4</v>
      </c>
      <c r="K89" s="6" t="inlineStr">
        <is>
          <t>T</t>
        </is>
      </c>
      <c r="L89" s="6" t="inlineStr">
        <is>
          <t>EQ-EVALUATOR</t>
        </is>
      </c>
      <c r="M89" s="6" t="n">
        <v>75</v>
      </c>
      <c r="N89" s="6" t="inlineStr">
        <is>
          <t>Evaluator MA-B</t>
        </is>
      </c>
      <c r="O89" s="6" t="inlineStr">
        <is>
          <t>Mathematics</t>
        </is>
      </c>
      <c r="P89" s="6" t="inlineStr">
        <is>
          <t>2025-06-07</t>
        </is>
      </c>
      <c r="Q89" s="6" t="inlineStr">
        <is>
          <t>2024-25</t>
        </is>
      </c>
      <c r="R89" s="6" t="inlineStr">
        <is>
          <t>No</t>
        </is>
      </c>
      <c r="S89" s="6" t="inlineStr">
        <is>
          <t>holdout</t>
        </is>
      </c>
      <c r="T89" s="6" t="inlineStr"/>
    </row>
    <row r="90">
      <c r="A90" s="6" t="inlineStr">
        <is>
          <t>D-0089</t>
        </is>
      </c>
      <c r="B90" s="6" t="inlineStr">
        <is>
          <t>NEU|CHEM 1703</t>
        </is>
      </c>
      <c r="C90" s="6" t="inlineStr">
        <is>
          <t>NEU</t>
        </is>
      </c>
      <c r="D90" s="6" t="inlineStr">
        <is>
          <t>CHEM 1703</t>
        </is>
      </c>
      <c r="E90" s="6" t="inlineStr">
        <is>
          <t>Chemistry for Health Sciences</t>
        </is>
      </c>
      <c r="F90" s="6" t="n">
        <v>5</v>
      </c>
      <c r="G90" s="6" t="inlineStr">
        <is>
          <t>Semester</t>
        </is>
      </c>
      <c r="H90" s="6" t="inlineStr">
        <is>
          <t>Equivalent</t>
        </is>
      </c>
      <c r="I90" s="6" t="inlineStr">
        <is>
          <t>CAS CH 110</t>
        </is>
      </c>
      <c r="J90" s="6" t="n">
        <v>5</v>
      </c>
      <c r="K90" s="6" t="inlineStr">
        <is>
          <t>T</t>
        </is>
      </c>
      <c r="L90" s="6" t="inlineStr">
        <is>
          <t>EQ-CONTENT</t>
        </is>
      </c>
      <c r="M90" s="6" t="n">
        <v>88</v>
      </c>
      <c r="N90" s="6" t="inlineStr">
        <is>
          <t>Evaluator BI-B</t>
        </is>
      </c>
      <c r="O90" s="6" t="inlineStr">
        <is>
          <t>Biology</t>
        </is>
      </c>
      <c r="P90" s="6" t="inlineStr">
        <is>
          <t>2024-04-16</t>
        </is>
      </c>
      <c r="Q90" s="6" t="inlineStr">
        <is>
          <t>2024-25</t>
        </is>
      </c>
      <c r="R90" s="6" t="inlineStr">
        <is>
          <t>No</t>
        </is>
      </c>
      <c r="S90" s="6" t="inlineStr">
        <is>
          <t>holdout</t>
        </is>
      </c>
      <c r="T90" s="6" t="inlineStr"/>
    </row>
    <row r="91">
      <c r="A91" s="6" t="inlineStr">
        <is>
          <t>D-0090</t>
        </is>
      </c>
      <c r="B91" s="6" t="inlineStr">
        <is>
          <t>NEU|ECON 2315</t>
        </is>
      </c>
      <c r="C91" s="6" t="inlineStr">
        <is>
          <t>NEU</t>
        </is>
      </c>
      <c r="D91" s="6" t="inlineStr">
        <is>
          <t>ECON 2315</t>
        </is>
      </c>
      <c r="E91" s="6" t="inlineStr">
        <is>
          <t>Macroeconomic Theory</t>
        </is>
      </c>
      <c r="F91" s="6" t="n">
        <v>4</v>
      </c>
      <c r="G91" s="6" t="inlineStr">
        <is>
          <t>Semester</t>
        </is>
      </c>
      <c r="H91" s="6" t="inlineStr">
        <is>
          <t>Equivalent</t>
        </is>
      </c>
      <c r="I91" s="6" t="inlineStr">
        <is>
          <t>CAS EC 202</t>
        </is>
      </c>
      <c r="J91" s="6" t="n">
        <v>4</v>
      </c>
      <c r="K91" s="6" t="inlineStr">
        <is>
          <t>T</t>
        </is>
      </c>
      <c r="L91" s="6" t="inlineStr">
        <is>
          <t>EQ-CONTENT</t>
        </is>
      </c>
      <c r="M91" s="6" t="n">
        <v>88</v>
      </c>
      <c r="N91" s="6" t="inlineStr">
        <is>
          <t>Evaluator EC-B</t>
        </is>
      </c>
      <c r="O91" s="6" t="inlineStr">
        <is>
          <t>Economics</t>
        </is>
      </c>
      <c r="P91" s="6" t="inlineStr">
        <is>
          <t>2024-05-28</t>
        </is>
      </c>
      <c r="Q91" s="6" t="inlineStr">
        <is>
          <t>2023-24</t>
        </is>
      </c>
      <c r="R91" s="6" t="inlineStr">
        <is>
          <t>No</t>
        </is>
      </c>
      <c r="S91" s="6" t="inlineStr">
        <is>
          <t>holdout</t>
        </is>
      </c>
      <c r="T91" s="6" t="inlineStr"/>
    </row>
    <row r="92">
      <c r="A92" s="6" t="inlineStr">
        <is>
          <t>D-0091</t>
        </is>
      </c>
      <c r="B92" s="6" t="inlineStr">
        <is>
          <t>NEU|MATH 3709</t>
        </is>
      </c>
      <c r="C92" s="6" t="inlineStr">
        <is>
          <t>NEU</t>
        </is>
      </c>
      <c r="D92" s="6" t="inlineStr">
        <is>
          <t>MATH 3709</t>
        </is>
      </c>
      <c r="E92" s="6" t="inlineStr">
        <is>
          <t>Mathematical Modeling</t>
        </is>
      </c>
      <c r="F92" s="6" t="n">
        <v>4</v>
      </c>
      <c r="G92" s="6" t="inlineStr">
        <is>
          <t>Semester</t>
        </is>
      </c>
      <c r="H92" s="6" t="inlineStr">
        <is>
          <t>Equivalent</t>
        </is>
      </c>
      <c r="I92" s="6" t="inlineStr">
        <is>
          <t>CAS MA 360</t>
        </is>
      </c>
      <c r="J92" s="6" t="n">
        <v>4</v>
      </c>
      <c r="K92" s="6" t="inlineStr">
        <is>
          <t>T</t>
        </is>
      </c>
      <c r="L92" s="6" t="inlineStr">
        <is>
          <t>EQ-CONTENT</t>
        </is>
      </c>
      <c r="M92" s="6" t="n">
        <v>88</v>
      </c>
      <c r="N92" s="6" t="inlineStr">
        <is>
          <t>Evaluator MA-B</t>
        </is>
      </c>
      <c r="O92" s="6" t="inlineStr">
        <is>
          <t>Mathematics</t>
        </is>
      </c>
      <c r="P92" s="6" t="inlineStr">
        <is>
          <t>2025-06-13</t>
        </is>
      </c>
      <c r="Q92" s="6" t="inlineStr">
        <is>
          <t>2023-24</t>
        </is>
      </c>
      <c r="R92" s="6" t="inlineStr">
        <is>
          <t>No</t>
        </is>
      </c>
      <c r="S92" s="6" t="inlineStr">
        <is>
          <t>holdout</t>
        </is>
      </c>
      <c r="T92" s="6" t="inlineStr"/>
    </row>
    <row r="93">
      <c r="A93" s="6" t="inlineStr">
        <is>
          <t>D-0092</t>
        </is>
      </c>
      <c r="B93" s="6" t="inlineStr">
        <is>
          <t>NEU|PSYC 3464</t>
        </is>
      </c>
      <c r="C93" s="6" t="inlineStr">
        <is>
          <t>NEU</t>
        </is>
      </c>
      <c r="D93" s="6" t="inlineStr">
        <is>
          <t>PSYC 3464</t>
        </is>
      </c>
      <c r="E93" s="6" t="inlineStr">
        <is>
          <t>Psychology of Language</t>
        </is>
      </c>
      <c r="F93" s="6" t="n">
        <v>4</v>
      </c>
      <c r="G93" s="6" t="inlineStr">
        <is>
          <t>Semester</t>
        </is>
      </c>
      <c r="H93" s="6" t="inlineStr">
        <is>
          <t>Equivalent</t>
        </is>
      </c>
      <c r="I93" s="6" t="inlineStr">
        <is>
          <t>CAS PS 275</t>
        </is>
      </c>
      <c r="J93" s="6" t="n">
        <v>4</v>
      </c>
      <c r="K93" s="6" t="inlineStr">
        <is>
          <t>T</t>
        </is>
      </c>
      <c r="L93" s="6" t="inlineStr">
        <is>
          <t>EQ-CONTENT</t>
        </is>
      </c>
      <c r="M93" s="6" t="n">
        <v>88</v>
      </c>
      <c r="N93" s="6" t="inlineStr">
        <is>
          <t>Evaluator PS-A</t>
        </is>
      </c>
      <c r="O93" s="6" t="inlineStr">
        <is>
          <t>Psychology</t>
        </is>
      </c>
      <c r="P93" s="6" t="inlineStr">
        <is>
          <t>2025-10-14</t>
        </is>
      </c>
      <c r="Q93" s="6" t="inlineStr">
        <is>
          <t>2023-24</t>
        </is>
      </c>
      <c r="R93" s="6" t="inlineStr">
        <is>
          <t>No</t>
        </is>
      </c>
      <c r="S93" s="6" t="inlineStr">
        <is>
          <t>holdout</t>
        </is>
      </c>
      <c r="T93" s="6" t="inlineStr"/>
    </row>
    <row r="94">
      <c r="A94" s="6" t="inlineStr">
        <is>
          <t>D-0093</t>
        </is>
      </c>
      <c r="B94" s="6" t="inlineStr">
        <is>
          <t>NYU|BIOL-UA 12</t>
        </is>
      </c>
      <c r="C94" s="6" t="inlineStr">
        <is>
          <t>NYU</t>
        </is>
      </c>
      <c r="D94" s="6" t="inlineStr">
        <is>
          <t>BIOL-UA 12</t>
        </is>
      </c>
      <c r="E94" s="6" t="inlineStr">
        <is>
          <t>Principles of Biology II</t>
        </is>
      </c>
      <c r="F94" s="6" t="n">
        <v>4</v>
      </c>
      <c r="G94" s="6" t="inlineStr">
        <is>
          <t>Semester</t>
        </is>
      </c>
      <c r="H94" s="6" t="inlineStr">
        <is>
          <t>Equivalent</t>
        </is>
      </c>
      <c r="I94" s="6" t="inlineStr">
        <is>
          <t>CAS BI 108</t>
        </is>
      </c>
      <c r="J94" s="6" t="n">
        <v>4</v>
      </c>
      <c r="K94" s="6" t="inlineStr">
        <is>
          <t>T</t>
        </is>
      </c>
      <c r="L94" s="6" t="inlineStr">
        <is>
          <t>EQ-CONTENT</t>
        </is>
      </c>
      <c r="M94" s="6" t="n">
        <v>88</v>
      </c>
      <c r="N94" s="6" t="inlineStr">
        <is>
          <t>Evaluator BI-A</t>
        </is>
      </c>
      <c r="O94" s="6" t="inlineStr">
        <is>
          <t>Biology</t>
        </is>
      </c>
      <c r="P94" s="6" t="inlineStr">
        <is>
          <t>2024-08-05</t>
        </is>
      </c>
      <c r="Q94" s="6" t="inlineStr">
        <is>
          <t>2024-25</t>
        </is>
      </c>
      <c r="R94" s="6" t="inlineStr">
        <is>
          <t>No</t>
        </is>
      </c>
      <c r="S94" s="6" t="inlineStr">
        <is>
          <t>holdout</t>
        </is>
      </c>
      <c r="T94" s="6" t="inlineStr"/>
    </row>
    <row r="95">
      <c r="A95" s="6" t="inlineStr">
        <is>
          <t>D-0094</t>
        </is>
      </c>
      <c r="B95" s="6" t="inlineStr">
        <is>
          <t>NYU|CHEM-UA 63</t>
        </is>
      </c>
      <c r="C95" s="6" t="inlineStr">
        <is>
          <t>NYU</t>
        </is>
      </c>
      <c r="D95" s="6" t="inlineStr">
        <is>
          <t>CHEM-UA 63</t>
        </is>
      </c>
      <c r="E95" s="6" t="inlineStr">
        <is>
          <t>Chemistry for Health Sciences</t>
        </is>
      </c>
      <c r="F95" s="6" t="n">
        <v>4</v>
      </c>
      <c r="G95" s="6" t="inlineStr">
        <is>
          <t>Semester</t>
        </is>
      </c>
      <c r="H95" s="6" t="inlineStr">
        <is>
          <t>Equivalent</t>
        </is>
      </c>
      <c r="I95" s="6" t="inlineStr">
        <is>
          <t>CAS CH 110</t>
        </is>
      </c>
      <c r="J95" s="6" t="n">
        <v>4</v>
      </c>
      <c r="K95" s="6" t="inlineStr">
        <is>
          <t>T</t>
        </is>
      </c>
      <c r="L95" s="6" t="inlineStr">
        <is>
          <t>EQ-CONTENT</t>
        </is>
      </c>
      <c r="M95" s="6" t="n">
        <v>88</v>
      </c>
      <c r="N95" s="6" t="inlineStr">
        <is>
          <t>Evaluator BI-A</t>
        </is>
      </c>
      <c r="O95" s="6" t="inlineStr">
        <is>
          <t>Biology</t>
        </is>
      </c>
      <c r="P95" s="6" t="inlineStr">
        <is>
          <t>2024-02-16</t>
        </is>
      </c>
      <c r="Q95" s="6" t="inlineStr">
        <is>
          <t>2024-25</t>
        </is>
      </c>
      <c r="R95" s="6" t="inlineStr">
        <is>
          <t>No</t>
        </is>
      </c>
      <c r="S95" s="6" t="inlineStr">
        <is>
          <t>holdout</t>
        </is>
      </c>
      <c r="T95" s="6" t="inlineStr"/>
    </row>
    <row r="96">
      <c r="A96" s="6" t="inlineStr">
        <is>
          <t>D-0095</t>
        </is>
      </c>
      <c r="B96" s="6" t="inlineStr">
        <is>
          <t>NYU|CSCI-UA 310</t>
        </is>
      </c>
      <c r="C96" s="6" t="inlineStr">
        <is>
          <t>NYU</t>
        </is>
      </c>
      <c r="D96" s="6" t="inlineStr">
        <is>
          <t>CSCI-UA 310</t>
        </is>
      </c>
      <c r="E96" s="6" t="inlineStr">
        <is>
          <t>Basic Algorithms</t>
        </is>
      </c>
      <c r="F96" s="6" t="n">
        <v>4</v>
      </c>
      <c r="G96" s="6" t="inlineStr">
        <is>
          <t>Semester</t>
        </is>
      </c>
      <c r="H96" s="6" t="inlineStr">
        <is>
          <t>Equivalent</t>
        </is>
      </c>
      <c r="I96" s="6" t="inlineStr">
        <is>
          <t>CAS CS 330</t>
        </is>
      </c>
      <c r="J96" s="6" t="n">
        <v>4</v>
      </c>
      <c r="K96" s="6" t="inlineStr">
        <is>
          <t>T</t>
        </is>
      </c>
      <c r="L96" s="6" t="inlineStr">
        <is>
          <t>EQ-CONTENT</t>
        </is>
      </c>
      <c r="M96" s="6" t="n">
        <v>88</v>
      </c>
      <c r="N96" s="6" t="inlineStr">
        <is>
          <t>Evaluator CS-B</t>
        </is>
      </c>
      <c r="O96" s="6" t="inlineStr">
        <is>
          <t>Computer Science</t>
        </is>
      </c>
      <c r="P96" s="6" t="inlineStr">
        <is>
          <t>2024-01-09</t>
        </is>
      </c>
      <c r="Q96" s="6" t="inlineStr">
        <is>
          <t>2023-24</t>
        </is>
      </c>
      <c r="R96" s="6" t="inlineStr">
        <is>
          <t>No</t>
        </is>
      </c>
      <c r="S96" s="6" t="inlineStr">
        <is>
          <t>holdout</t>
        </is>
      </c>
      <c r="T96" s="6" t="inlineStr"/>
    </row>
    <row r="97">
      <c r="A97" s="6" t="inlineStr">
        <is>
          <t>D-0096</t>
        </is>
      </c>
      <c r="B97" s="6" t="inlineStr">
        <is>
          <t>NYU|ECON-UA 375</t>
        </is>
      </c>
      <c r="C97" s="6" t="inlineStr">
        <is>
          <t>NYU</t>
        </is>
      </c>
      <c r="D97" s="6" t="inlineStr">
        <is>
          <t>ECON-UA 375</t>
        </is>
      </c>
      <c r="E97" s="6" t="inlineStr">
        <is>
          <t>Political Economy</t>
        </is>
      </c>
      <c r="F97" s="6" t="n">
        <v>4</v>
      </c>
      <c r="G97" s="6" t="inlineStr">
        <is>
          <t>Semester</t>
        </is>
      </c>
      <c r="H97" s="6" t="inlineStr">
        <is>
          <t>Equivalent</t>
        </is>
      </c>
      <c r="I97" s="6" t="inlineStr">
        <is>
          <t>CAS EC 355</t>
        </is>
      </c>
      <c r="J97" s="6" t="n">
        <v>4</v>
      </c>
      <c r="K97" s="6" t="inlineStr">
        <is>
          <t>T</t>
        </is>
      </c>
      <c r="L97" s="6" t="inlineStr">
        <is>
          <t>EQ-CONTENT</t>
        </is>
      </c>
      <c r="M97" s="6" t="n">
        <v>88</v>
      </c>
      <c r="N97" s="6" t="inlineStr">
        <is>
          <t>Evaluator EC-B</t>
        </is>
      </c>
      <c r="O97" s="6" t="inlineStr">
        <is>
          <t>Economics</t>
        </is>
      </c>
      <c r="P97" s="6" t="inlineStr">
        <is>
          <t>2024-09-17</t>
        </is>
      </c>
      <c r="Q97" s="6" t="inlineStr">
        <is>
          <t>2024-25</t>
        </is>
      </c>
      <c r="R97" s="6" t="inlineStr">
        <is>
          <t>No</t>
        </is>
      </c>
      <c r="S97" s="6" t="inlineStr">
        <is>
          <t>holdout</t>
        </is>
      </c>
      <c r="T97" s="6" t="inlineStr"/>
    </row>
    <row r="98">
      <c r="A98" s="6" t="inlineStr">
        <is>
          <t>D-0097</t>
        </is>
      </c>
      <c r="B98" s="6" t="inlineStr">
        <is>
          <t>NYU|MATH-UA 372</t>
        </is>
      </c>
      <c r="C98" s="6" t="inlineStr">
        <is>
          <t>NYU</t>
        </is>
      </c>
      <c r="D98" s="6" t="inlineStr">
        <is>
          <t>MATH-UA 372</t>
        </is>
      </c>
      <c r="E98" s="6" t="inlineStr">
        <is>
          <t>Abstract Algebra 2</t>
        </is>
      </c>
      <c r="F98" s="6" t="n">
        <v>4</v>
      </c>
      <c r="G98" s="6" t="inlineStr">
        <is>
          <t>Semester</t>
        </is>
      </c>
      <c r="H98" s="6" t="inlineStr">
        <is>
          <t>Equivalent</t>
        </is>
      </c>
      <c r="I98" s="6" t="inlineStr">
        <is>
          <t>CAS MA 321</t>
        </is>
      </c>
      <c r="J98" s="6" t="n">
        <v>4</v>
      </c>
      <c r="K98" s="6" t="inlineStr">
        <is>
          <t>T</t>
        </is>
      </c>
      <c r="L98" s="6" t="inlineStr">
        <is>
          <t>EQ-CONTENT</t>
        </is>
      </c>
      <c r="M98" s="6" t="n">
        <v>88</v>
      </c>
      <c r="N98" s="6" t="inlineStr">
        <is>
          <t>Evaluator MA-B</t>
        </is>
      </c>
      <c r="O98" s="6" t="inlineStr">
        <is>
          <t>Mathematics</t>
        </is>
      </c>
      <c r="P98" s="6" t="inlineStr">
        <is>
          <t>2025-06-21</t>
        </is>
      </c>
      <c r="Q98" s="6" t="inlineStr">
        <is>
          <t>2023-24</t>
        </is>
      </c>
      <c r="R98" s="6" t="inlineStr">
        <is>
          <t>No</t>
        </is>
      </c>
      <c r="S98" s="6" t="inlineStr">
        <is>
          <t>holdout</t>
        </is>
      </c>
      <c r="T98" s="6" t="inlineStr"/>
    </row>
    <row r="99">
      <c r="A99" s="6" t="inlineStr">
        <is>
          <t>D-0098</t>
        </is>
      </c>
      <c r="B99" s="6" t="inlineStr">
        <is>
          <t>NYU|PSYCH-UA 34</t>
        </is>
      </c>
      <c r="C99" s="6" t="inlineStr">
        <is>
          <t>NYU</t>
        </is>
      </c>
      <c r="D99" s="6" t="inlineStr">
        <is>
          <t>PSYCH-UA 34</t>
        </is>
      </c>
      <c r="E99" s="6" t="inlineStr">
        <is>
          <t>Developmental Psychology</t>
        </is>
      </c>
      <c r="F99" s="6" t="n">
        <v>4</v>
      </c>
      <c r="G99" s="6" t="inlineStr">
        <is>
          <t>Semester</t>
        </is>
      </c>
      <c r="H99" s="6" t="inlineStr">
        <is>
          <t>Equivalent</t>
        </is>
      </c>
      <c r="I99" s="6" t="inlineStr">
        <is>
          <t>CAS PS 241</t>
        </is>
      </c>
      <c r="J99" s="6" t="n">
        <v>4</v>
      </c>
      <c r="K99" s="6" t="inlineStr">
        <is>
          <t>T</t>
        </is>
      </c>
      <c r="L99" s="6" t="inlineStr">
        <is>
          <t>EQ-CONTENT</t>
        </is>
      </c>
      <c r="M99" s="6" t="n">
        <v>88</v>
      </c>
      <c r="N99" s="6" t="inlineStr">
        <is>
          <t>Evaluator PS-A</t>
        </is>
      </c>
      <c r="O99" s="6" t="inlineStr">
        <is>
          <t>Psychology</t>
        </is>
      </c>
      <c r="P99" s="6" t="inlineStr">
        <is>
          <t>2025-04-20</t>
        </is>
      </c>
      <c r="Q99" s="6" t="inlineStr">
        <is>
          <t>2024-25</t>
        </is>
      </c>
      <c r="R99" s="6" t="inlineStr">
        <is>
          <t>No</t>
        </is>
      </c>
      <c r="S99" s="6" t="inlineStr">
        <is>
          <t>holdout</t>
        </is>
      </c>
      <c r="T99" s="6" t="inlineStr"/>
    </row>
    <row r="100">
      <c r="A100" s="6" t="inlineStr">
        <is>
          <t>D-0099</t>
        </is>
      </c>
      <c r="B100" s="6" t="inlineStr">
        <is>
          <t>NEU|BIOL 3712</t>
        </is>
      </c>
      <c r="C100" s="6" t="inlineStr">
        <is>
          <t>NEU</t>
        </is>
      </c>
      <c r="D100" s="6" t="inlineStr">
        <is>
          <t>BIOL 3712</t>
        </is>
      </c>
      <c r="E100" s="6" t="inlineStr">
        <is>
          <t>Molecular Biology</t>
        </is>
      </c>
      <c r="F100" s="6" t="n">
        <v>5</v>
      </c>
      <c r="G100" s="6" t="inlineStr">
        <is>
          <t>Semester</t>
        </is>
      </c>
      <c r="H100" s="6" t="inlineStr">
        <is>
          <t>Equivalent</t>
        </is>
      </c>
      <c r="I100" s="6" t="inlineStr">
        <is>
          <t>CAS BI 350</t>
        </is>
      </c>
      <c r="J100" s="6" t="n">
        <v>5</v>
      </c>
      <c r="K100" s="6" t="inlineStr">
        <is>
          <t>T</t>
        </is>
      </c>
      <c r="L100" s="6" t="inlineStr">
        <is>
          <t>EQ-CONTENT</t>
        </is>
      </c>
      <c r="M100" s="6" t="n">
        <v>100</v>
      </c>
      <c r="N100" s="6" t="inlineStr">
        <is>
          <t>Evaluator BI-A</t>
        </is>
      </c>
      <c r="O100" s="6" t="inlineStr">
        <is>
          <t>Biology</t>
        </is>
      </c>
      <c r="P100" s="6" t="inlineStr">
        <is>
          <t>2024-03-13</t>
        </is>
      </c>
      <c r="Q100" s="6" t="inlineStr">
        <is>
          <t>2023-24</t>
        </is>
      </c>
      <c r="R100" s="6" t="inlineStr">
        <is>
          <t>No</t>
        </is>
      </c>
      <c r="S100" s="6" t="inlineStr">
        <is>
          <t>holdout</t>
        </is>
      </c>
      <c r="T100" s="6" t="inlineStr"/>
    </row>
    <row r="101">
      <c r="A101" s="6" t="inlineStr">
        <is>
          <t>D-0100</t>
        </is>
      </c>
      <c r="B101" s="6" t="inlineStr">
        <is>
          <t>NEU|ECON 2706</t>
        </is>
      </c>
      <c r="C101" s="6" t="inlineStr">
        <is>
          <t>NEU</t>
        </is>
      </c>
      <c r="D101" s="6" t="inlineStr">
        <is>
          <t>ECON 2706</t>
        </is>
      </c>
      <c r="E101" s="6" t="inlineStr">
        <is>
          <t>Labor Economics</t>
        </is>
      </c>
      <c r="F101" s="6" t="n">
        <v>4</v>
      </c>
      <c r="G101" s="6" t="inlineStr">
        <is>
          <t>Semester</t>
        </is>
      </c>
      <c r="H101" s="6" t="inlineStr">
        <is>
          <t>Equivalent</t>
        </is>
      </c>
      <c r="I101" s="6" t="inlineStr">
        <is>
          <t>CAS EC 240</t>
        </is>
      </c>
      <c r="J101" s="6" t="n">
        <v>4</v>
      </c>
      <c r="K101" s="6" t="inlineStr">
        <is>
          <t>T</t>
        </is>
      </c>
      <c r="L101" s="6" t="inlineStr">
        <is>
          <t>EQ-CONTENT</t>
        </is>
      </c>
      <c r="M101" s="6" t="n">
        <v>100</v>
      </c>
      <c r="N101" s="6" t="inlineStr">
        <is>
          <t>Evaluator EC-A</t>
        </is>
      </c>
      <c r="O101" s="6" t="inlineStr">
        <is>
          <t>Economics</t>
        </is>
      </c>
      <c r="P101" s="6" t="inlineStr">
        <is>
          <t>2024-10-11</t>
        </is>
      </c>
      <c r="Q101" s="6" t="inlineStr">
        <is>
          <t>2023-24</t>
        </is>
      </c>
      <c r="R101" s="6" t="inlineStr">
        <is>
          <t>No</t>
        </is>
      </c>
      <c r="S101" s="6" t="inlineStr">
        <is>
          <t>holdout</t>
        </is>
      </c>
      <c r="T101" s="6" t="inlineStr"/>
    </row>
  </sheetData>
  <autoFilter ref="A1:T1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36" customWidth="1" min="1" max="1"/>
    <col width="13.5" customWidth="1" min="2" max="2"/>
    <col width="45" customWidth="1" min="3" max="3"/>
    <col width="20.7" customWidth="1" min="4" max="4"/>
    <col width="16.2" customWidth="1" min="5" max="5"/>
    <col width="12.6" customWidth="1" min="6" max="6"/>
    <col width="21" customWidth="1" min="7" max="7"/>
    <col width="21" customWidth="1" min="8" max="8"/>
    <col width="70" customWidth="1" min="9" max="9"/>
  </cols>
  <sheetData>
    <row r="1">
      <c r="A1" s="5" t="inlineStr">
        <is>
          <t>File</t>
        </is>
      </c>
      <c r="B1" s="5" t="inlineStr">
        <is>
          <t>Ext ID</t>
        </is>
      </c>
      <c r="C1" s="5" t="inlineStr">
        <is>
          <t>Course</t>
        </is>
      </c>
      <c r="D1" s="5" t="inlineStr">
        <is>
          <t>School</t>
        </is>
      </c>
      <c r="E1" s="5" t="inlineStr">
        <is>
          <t>State</t>
        </is>
      </c>
      <c r="F1" s="5" t="inlineStr">
        <is>
          <t>Used by</t>
        </is>
      </c>
      <c r="G1" s="8" t="inlineStr">
        <is>
          <t>Expected match (gt)</t>
        </is>
      </c>
      <c r="H1" s="8" t="inlineStr">
        <is>
          <t>True overlap % (gt)</t>
        </is>
      </c>
      <c r="I1" s="5" t="inlineStr">
        <is>
          <t>Note</t>
        </is>
      </c>
    </row>
    <row r="2">
      <c r="A2" s="6" t="inlineStr">
        <is>
          <t>syllabi/Syllabus_NYU_PSYCH-UA-10.pdf</t>
        </is>
      </c>
      <c r="B2" s="6" t="inlineStr">
        <is>
          <t>NYU|PSYCH-UA 10</t>
        </is>
      </c>
      <c r="C2" s="3" t="inlineStr">
        <is>
          <t>PSYCH-UA 10 Statistics for the Behavioral Sciences</t>
        </is>
      </c>
      <c r="D2" s="6" t="inlineStr">
        <is>
          <t>New York University</t>
        </is>
      </c>
      <c r="E2" s="6" t="inlineStr">
        <is>
          <t>complete</t>
        </is>
      </c>
      <c r="F2" s="6" t="inlineStr">
        <is>
          <t>Maya Delgado</t>
        </is>
      </c>
      <c r="G2" s="6" t="inlineStr">
        <is>
          <t>CAS PS 211</t>
        </is>
      </c>
      <c r="H2" s="6" t="n">
        <v>75</v>
      </c>
      <c r="I2" s="3" t="inlineStr">
        <is>
          <t>Maybe 1: on file at upload (~75% overlap with CAS PS 211; workbook: partial, statistics vs experimental design)</t>
        </is>
      </c>
    </row>
    <row r="3">
      <c r="A3" s="6" t="inlineStr">
        <is>
          <t>syllabi/Syllabus_NYU_PSYCH-UA-25.pdf</t>
        </is>
      </c>
      <c r="B3" s="6" t="inlineStr">
        <is>
          <t>NYU|PSYCH-UA 25</t>
        </is>
      </c>
      <c r="C3" s="6" t="inlineStr">
        <is>
          <t>PSYCH-UA 25 Cognitive Neuroscience</t>
        </is>
      </c>
      <c r="D3" s="6" t="inlineStr">
        <is>
          <t>New York University</t>
        </is>
      </c>
      <c r="E3" s="6" t="inlineStr">
        <is>
          <t>complete-late</t>
        </is>
      </c>
      <c r="F3" s="6" t="inlineStr">
        <is>
          <t>Maya Delgado</t>
        </is>
      </c>
      <c r="G3" s="6" t="inlineStr">
        <is>
          <t>CAS PS 231</t>
        </is>
      </c>
      <c r="H3" s="6" t="n">
        <v>62</v>
      </c>
      <c r="I3" s="3" t="inlineStr">
        <is>
          <t>Maybe 2: missing at upload (TS); upload in demo step 7 (~62% overlap with CAS PS 231)</t>
        </is>
      </c>
    </row>
    <row r="4">
      <c r="A4" s="6" t="inlineStr">
        <is>
          <t>syllabi/Syllabus_NEU_CS-2100.pdf</t>
        </is>
      </c>
      <c r="B4" s="6" t="inlineStr">
        <is>
          <t>NEU|CS 2100</t>
        </is>
      </c>
      <c r="C4" s="3" t="inlineStr">
        <is>
          <t>CS 2100 Program Design and Implementation 1</t>
        </is>
      </c>
      <c r="D4" s="6" t="inlineStr">
        <is>
          <t>Northeastern University</t>
        </is>
      </c>
      <c r="E4" s="6" t="inlineStr">
        <is>
          <t>complete</t>
        </is>
      </c>
      <c r="F4" s="6" t="inlineStr">
        <is>
          <t>Jordan Reyes</t>
        </is>
      </c>
      <c r="G4" s="6" t="inlineStr">
        <is>
          <t>CAS CS 112</t>
        </is>
      </c>
      <c r="H4" s="6" t="n">
        <v>62</v>
      </c>
      <c r="I4" s="3" t="inlineStr">
        <is>
          <t>Partial (~62%) with CAS CS 112; workbook notes NU splits CS 112 across CS 2100 + CS 2700</t>
        </is>
      </c>
    </row>
    <row r="5">
      <c r="A5" s="6" t="inlineStr">
        <is>
          <t>syllabi/Syllabus_NEU_CS-2700.pdf</t>
        </is>
      </c>
      <c r="B5" s="6" t="inlineStr">
        <is>
          <t>NEU|CS 2700</t>
        </is>
      </c>
      <c r="C5" s="6" t="inlineStr">
        <is>
          <t>CS 2700 Data Structures and Analysis</t>
        </is>
      </c>
      <c r="D5" s="6" t="inlineStr">
        <is>
          <t>Northeastern University</t>
        </is>
      </c>
      <c r="E5" s="6" t="inlineStr">
        <is>
          <t>incomplete</t>
        </is>
      </c>
      <c r="F5" s="6" t="inlineStr">
        <is>
          <t>Jordan Reyes</t>
        </is>
      </c>
      <c r="G5" s="6" t="inlineStr">
        <is>
          <t>CAS CS 112</t>
        </is>
      </c>
      <c r="H5" s="6" t="n">
        <v>75</v>
      </c>
      <c r="I5" s="3" t="inlineStr">
        <is>
          <t>INCOMPLETE: no learning outcomes or weekly schedule -&gt; TM request</t>
        </is>
      </c>
    </row>
    <row r="6">
      <c r="A6" s="6" t="inlineStr">
        <is>
          <t>syllabi/Syllabus_NEU_CHEM-1161.pdf</t>
        </is>
      </c>
      <c r="B6" s="6" t="inlineStr">
        <is>
          <t>NEU|CHEM 1161</t>
        </is>
      </c>
      <c r="C6" s="3" t="inlineStr">
        <is>
          <t>CHEM 1161 General Chemistry for Science Majors</t>
        </is>
      </c>
      <c r="D6" s="6" t="inlineStr">
        <is>
          <t>Northeastern University</t>
        </is>
      </c>
      <c r="E6" s="6" t="inlineStr">
        <is>
          <t>complete</t>
        </is>
      </c>
      <c r="F6" s="6" t="inlineStr">
        <is>
          <t>Aisha Bello</t>
        </is>
      </c>
      <c r="G6" s="6" t="inlineStr">
        <is>
          <t>CAS CH 101</t>
        </is>
      </c>
      <c r="H6" s="6" t="n">
        <v>62</v>
      </c>
      <c r="I6" s="3" t="inlineStr">
        <is>
          <t>NU one-semester general chemistry (~62% with CAS CH 101; may map to CH 101 or CH 102)</t>
        </is>
      </c>
    </row>
    <row r="7">
      <c r="A7" s="6" t="inlineStr">
        <is>
          <t>syllabi/Syllabus_NEU_BIOL-2301.pdf</t>
        </is>
      </c>
      <c r="B7" s="6" t="inlineStr">
        <is>
          <t>NEU|BIOL 2301</t>
        </is>
      </c>
      <c r="C7" s="6" t="inlineStr">
        <is>
          <t>BIOL 2301 Genetics and Molecular Biology</t>
        </is>
      </c>
      <c r="D7" s="6" t="inlineStr">
        <is>
          <t>Northeastern University</t>
        </is>
      </c>
      <c r="E7" s="6" t="inlineStr">
        <is>
          <t>complete</t>
        </is>
      </c>
      <c r="F7" s="6" t="inlineStr">
        <is>
          <t>Aisha Bello</t>
        </is>
      </c>
      <c r="G7" s="6" t="inlineStr">
        <is>
          <t>CAS BI 206</t>
        </is>
      </c>
      <c r="H7" s="6" t="n">
        <v>75</v>
      </c>
      <c r="I7" s="3" t="inlineStr">
        <is>
          <t>Partial (~75%) with CAS BI 206 (genetics + molecular biology)</t>
        </is>
      </c>
    </row>
    <row r="8">
      <c r="A8" s="6" t="inlineStr">
        <is>
          <t>syllabi/Syllabus_NEU_BIOL-3611.pdf</t>
        </is>
      </c>
      <c r="B8" s="6" t="inlineStr">
        <is>
          <t>NEU|BIOL 3611</t>
        </is>
      </c>
      <c r="C8" s="6" t="inlineStr">
        <is>
          <t>BIOL 3611 Biochemistry</t>
        </is>
      </c>
      <c r="D8" s="6" t="inlineStr">
        <is>
          <t>Northeastern University</t>
        </is>
      </c>
      <c r="E8" s="6" t="inlineStr">
        <is>
          <t>complete</t>
        </is>
      </c>
      <c r="F8" s="6" t="inlineStr">
        <is>
          <t>Aisha Bello</t>
        </is>
      </c>
      <c r="G8" s="6" t="inlineStr">
        <is>
          <t>CAS CH 373</t>
        </is>
      </c>
      <c r="H8" s="6" t="n">
        <v>87</v>
      </c>
      <c r="I8" s="3" t="inlineStr">
        <is>
          <t>High overlap (~88%) with CAS CH 373 Biochemistry 1 -&gt; propose equivalent</t>
        </is>
      </c>
    </row>
    <row r="9">
      <c r="A9" s="6" t="inlineStr">
        <is>
          <t>syllabi/Syllabus_NEU_BIOL-2299.pdf</t>
        </is>
      </c>
      <c r="B9" s="6" t="inlineStr">
        <is>
          <t>NEU|BIOL 2299</t>
        </is>
      </c>
      <c r="C9" s="3" t="inlineStr">
        <is>
          <t>BIOL 2299 Inquiries in Biological Sciences</t>
        </is>
      </c>
      <c r="D9" s="6" t="inlineStr">
        <is>
          <t>Northeastern University</t>
        </is>
      </c>
      <c r="E9" s="6" t="inlineStr">
        <is>
          <t>complete</t>
        </is>
      </c>
      <c r="F9" s="6" t="inlineStr">
        <is>
          <t>Aisha Bello</t>
        </is>
      </c>
      <c r="G9" s="6" t="inlineStr">
        <is>
          <t>CAS BI 107</t>
        </is>
      </c>
      <c r="H9" s="6" t="n">
        <v>37</v>
      </c>
      <c r="I9" s="3" t="inlineStr">
        <is>
          <t>Low overlap (~38%) with CAS BI 107 -&gt; elective expected</t>
        </is>
      </c>
    </row>
    <row r="10">
      <c r="A10" s="6" t="inlineStr">
        <is>
          <t>syllabi/Syllabus_NYU_ECON-UA-266.pdf</t>
        </is>
      </c>
      <c r="B10" s="6" t="inlineStr">
        <is>
          <t>NYU|ECON-UA 266</t>
        </is>
      </c>
      <c r="C10" s="6" t="inlineStr">
        <is>
          <t>ECON-UA 266 Intro to Econometrics</t>
        </is>
      </c>
      <c r="D10" s="6" t="inlineStr">
        <is>
          <t>New York University</t>
        </is>
      </c>
      <c r="E10" s="6" t="inlineStr">
        <is>
          <t>complete-injection</t>
        </is>
      </c>
      <c r="F10" s="6" t="inlineStr">
        <is>
          <t>Liam Novak</t>
        </is>
      </c>
      <c r="G10" s="6" t="inlineStr">
        <is>
          <t>CAS EC 204</t>
        </is>
      </c>
      <c r="H10" s="6" t="n">
        <v>62</v>
      </c>
      <c r="I10" s="3" t="inlineStr">
        <is>
          <t>RED-TEAM: contains a prompt-injection line; AI must ignore it (~62% with CAS EC 204)</t>
        </is>
      </c>
    </row>
    <row r="11">
      <c r="A11" s="6" t="inlineStr">
        <is>
          <t>syllabi/Syllabus_NYU_PSYCH-UA-34.pdf</t>
        </is>
      </c>
      <c r="B11" s="6" t="inlineStr">
        <is>
          <t>NYU|PSYCH-UA 34</t>
        </is>
      </c>
      <c r="C11" s="6" t="inlineStr">
        <is>
          <t>PSYCH-UA 34 Developmental Psychology</t>
        </is>
      </c>
      <c r="D11" s="6" t="inlineStr">
        <is>
          <t>New York University</t>
        </is>
      </c>
      <c r="E11" s="6" t="inlineStr">
        <is>
          <t>complete</t>
        </is>
      </c>
      <c r="F11" s="6" t="inlineStr">
        <is>
          <t>Evaluation set</t>
        </is>
      </c>
      <c r="G11" s="6" t="inlineStr">
        <is>
          <t>CAS PS 241</t>
        </is>
      </c>
      <c r="H11" s="6" t="n">
        <v>87</v>
      </c>
      <c r="I11" s="3" t="inlineStr">
        <is>
          <t>Held-out course (~87% overlap with CAS PS 241)</t>
        </is>
      </c>
    </row>
    <row r="12">
      <c r="A12" s="6" t="inlineStr">
        <is>
          <t>syllabi/Syllabus_NEU_BIOL-3712.pdf</t>
        </is>
      </c>
      <c r="B12" s="6" t="inlineStr">
        <is>
          <t>NEU|BIOL 3712</t>
        </is>
      </c>
      <c r="C12" s="6" t="inlineStr">
        <is>
          <t>BIOL 3712 Molecular Biology</t>
        </is>
      </c>
      <c r="D12" s="6" t="inlineStr">
        <is>
          <t>Northeastern University</t>
        </is>
      </c>
      <c r="E12" s="6" t="inlineStr">
        <is>
          <t>complete</t>
        </is>
      </c>
      <c r="F12" s="6" t="inlineStr">
        <is>
          <t>Evaluation set</t>
        </is>
      </c>
      <c r="G12" s="6" t="inlineStr">
        <is>
          <t>CAS BI 350</t>
        </is>
      </c>
      <c r="H12" s="6" t="n">
        <v>100</v>
      </c>
      <c r="I12" s="3" t="inlineStr">
        <is>
          <t>Held-out course (~100% overlap with CAS BI 350)</t>
        </is>
      </c>
    </row>
    <row r="13">
      <c r="A13" s="6" t="inlineStr">
        <is>
          <t>syllabi/Syllabus_NEU_ECON-2706.pdf</t>
        </is>
      </c>
      <c r="B13" s="6" t="inlineStr">
        <is>
          <t>NEU|ECON 2706</t>
        </is>
      </c>
      <c r="C13" s="6" t="inlineStr">
        <is>
          <t>ECON 2706 Labor Economics</t>
        </is>
      </c>
      <c r="D13" s="6" t="inlineStr">
        <is>
          <t>Northeastern University</t>
        </is>
      </c>
      <c r="E13" s="6" t="inlineStr">
        <is>
          <t>complete</t>
        </is>
      </c>
      <c r="F13" s="6" t="inlineStr">
        <is>
          <t>Evaluation set</t>
        </is>
      </c>
      <c r="G13" s="6" t="inlineStr">
        <is>
          <t>CAS EC 240</t>
        </is>
      </c>
      <c r="H13" s="6" t="n">
        <v>100</v>
      </c>
      <c r="I13" s="3" t="inlineStr">
        <is>
          <t>Held-out course (~100% overlap with CAS EC 240)</t>
        </is>
      </c>
    </row>
  </sheetData>
  <autoFilter ref="A1:I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3.5" customWidth="1" min="3" max="3"/>
    <col width="31.5" customWidth="1" min="4" max="4"/>
    <col width="14" customWidth="1" min="5" max="5"/>
  </cols>
  <sheetData>
    <row r="1">
      <c r="A1" s="5" t="inlineStr">
        <is>
          <t>File</t>
        </is>
      </c>
      <c r="B1" s="5" t="inlineStr">
        <is>
          <t>Student ID</t>
        </is>
      </c>
      <c r="C1" s="5" t="inlineStr">
        <is>
          <t>Student</t>
        </is>
      </c>
      <c r="D1" s="5" t="inlineStr">
        <is>
          <t>School</t>
        </is>
      </c>
      <c r="E1" s="5" t="inlineStr">
        <is>
          <t>Course lines</t>
        </is>
      </c>
    </row>
    <row r="2">
      <c r="A2" s="3" t="inlineStr">
        <is>
          <t>transcripts/Transcript_SYN-24001_NYU_Maya_Delgado.pdf</t>
        </is>
      </c>
      <c r="B2" s="6" t="inlineStr">
        <is>
          <t>SYN-24001</t>
        </is>
      </c>
      <c r="C2" s="6" t="inlineStr">
        <is>
          <t>Maya R. Delgado</t>
        </is>
      </c>
      <c r="D2" s="6" t="inlineStr">
        <is>
          <t>New York University</t>
        </is>
      </c>
      <c r="E2" s="6" t="n">
        <v>5</v>
      </c>
    </row>
    <row r="3">
      <c r="A3" s="3" t="inlineStr">
        <is>
          <t>transcripts/Transcript_SYN-24001_PSC_Maya_Delgado.pdf</t>
        </is>
      </c>
      <c r="B3" s="6" t="inlineStr">
        <is>
          <t>SYN-24001</t>
        </is>
      </c>
      <c r="C3" s="6" t="inlineStr">
        <is>
          <t>Maya R. Delgado</t>
        </is>
      </c>
      <c r="D3" s="6" t="inlineStr">
        <is>
          <t>Pinecrest State College (fictional)</t>
        </is>
      </c>
      <c r="E3" s="6" t="n">
        <v>1</v>
      </c>
    </row>
    <row r="4">
      <c r="A4" s="3" t="inlineStr">
        <is>
          <t>transcripts/Transcript_SYN-24002_NEU_Jordan_Reyes.pdf</t>
        </is>
      </c>
      <c r="B4" s="6" t="inlineStr">
        <is>
          <t>SYN-24002</t>
        </is>
      </c>
      <c r="C4" s="6" t="inlineStr">
        <is>
          <t>Jordan A. Reyes</t>
        </is>
      </c>
      <c r="D4" s="6" t="inlineStr">
        <is>
          <t>Northeastern University</t>
        </is>
      </c>
      <c r="E4" s="6" t="n">
        <v>14</v>
      </c>
    </row>
    <row r="5">
      <c r="A5" s="3" t="inlineStr">
        <is>
          <t>transcripts/Transcript_SYN-24003_NEU_Aisha_Bello.pdf</t>
        </is>
      </c>
      <c r="B5" s="6" t="inlineStr">
        <is>
          <t>SYN-24003</t>
        </is>
      </c>
      <c r="C5" s="6" t="inlineStr">
        <is>
          <t>Aisha K. Bello</t>
        </is>
      </c>
      <c r="D5" s="6" t="inlineStr">
        <is>
          <t>Northeastern University</t>
        </is>
      </c>
      <c r="E5" s="6" t="n">
        <v>12</v>
      </c>
    </row>
    <row r="6">
      <c r="A6" s="3" t="inlineStr">
        <is>
          <t>transcripts/Transcript_SYN-24004_NEU_Liam_Novak.pdf</t>
        </is>
      </c>
      <c r="B6" s="6" t="inlineStr">
        <is>
          <t>SYN-24004</t>
        </is>
      </c>
      <c r="C6" s="6" t="inlineStr">
        <is>
          <t>Liam O. Novak</t>
        </is>
      </c>
      <c r="D6" s="6" t="inlineStr">
        <is>
          <t>Northeastern University</t>
        </is>
      </c>
      <c r="E6" s="6" t="n">
        <v>8</v>
      </c>
    </row>
    <row r="7">
      <c r="A7" s="3" t="inlineStr">
        <is>
          <t>transcripts/Transcript_SYN-24004_NYU_Liam_Novak.pdf</t>
        </is>
      </c>
      <c r="B7" s="6" t="inlineStr">
        <is>
          <t>SYN-24004</t>
        </is>
      </c>
      <c r="C7" s="6" t="inlineStr">
        <is>
          <t>Liam O. Novak</t>
        </is>
      </c>
      <c r="D7" s="6" t="inlineStr">
        <is>
          <t>New York University</t>
        </is>
      </c>
      <c r="E7" s="6" t="n">
        <v>14</v>
      </c>
    </row>
    <row r="8">
      <c r="A8" s="3" t="inlineStr">
        <is>
          <t>transcripts/Transcript_SYN-24004_SOI_Liam_Novak.pdf</t>
        </is>
      </c>
      <c r="B8" s="6" t="inlineStr">
        <is>
          <t>SYN-24004</t>
        </is>
      </c>
      <c r="C8" s="6" t="inlineStr">
        <is>
          <t>Liam O. Novak</t>
        </is>
      </c>
      <c r="D8" s="6" t="inlineStr">
        <is>
          <t>Summit Online Institute (fictional)</t>
        </is>
      </c>
      <c r="E8" s="6" t="n">
        <v>2</v>
      </c>
    </row>
  </sheetData>
  <autoFilter ref="A1:E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0" customWidth="1" min="1" max="1"/>
    <col width="12.6" customWidth="1" min="2" max="2"/>
    <col width="80" customWidth="1" min="3" max="3"/>
    <col width="28" customWidth="1" min="4" max="4"/>
    <col width="36" customWidth="1" min="5" max="5"/>
    <col width="34.2" customWidth="1" min="6" max="6"/>
    <col width="16.2" customWidth="1" min="7" max="7"/>
  </cols>
  <sheetData>
    <row r="1">
      <c r="A1" s="5" t="inlineStr">
        <is>
          <t>Rule ID</t>
        </is>
      </c>
      <c r="B1" s="5" t="inlineStr">
        <is>
          <t>Category</t>
        </is>
      </c>
      <c r="C1" s="5" t="inlineStr">
        <is>
          <t>Rule</t>
        </is>
      </c>
      <c r="D1" s="5" t="inlineStr">
        <is>
          <t>Condition</t>
        </is>
      </c>
      <c r="E1" s="5" t="inlineStr">
        <is>
          <t>Outcome</t>
        </is>
      </c>
      <c r="F1" s="5" t="inlineStr">
        <is>
          <t>Reason code</t>
        </is>
      </c>
      <c r="G1" s="5" t="inlineStr">
        <is>
          <t>Source</t>
        </is>
      </c>
    </row>
    <row r="2">
      <c r="A2" s="6" t="inlineStr">
        <is>
          <t>R01</t>
        </is>
      </c>
      <c r="B2" s="6" t="inlineStr">
        <is>
          <t>Accreditation</t>
        </is>
      </c>
      <c r="C2" s="3" t="inlineStr">
        <is>
          <t>Only courses from regionally accredited institutions are eligible.</t>
        </is>
      </c>
      <c r="D2" s="6" t="inlineStr">
        <is>
          <t>school.accreditation</t>
        </is>
      </c>
      <c r="E2" s="6" t="inlineStr">
        <is>
          <t>No credit, TFRGEN NOCRDT, 0 units, TX</t>
        </is>
      </c>
      <c r="F2" s="6" t="inlineStr">
        <is>
          <t>NC-ACCRED</t>
        </is>
      </c>
      <c r="G2" s="6" t="inlineStr">
        <is>
          <t>Sponsor Q8</t>
        </is>
      </c>
    </row>
    <row r="3">
      <c r="A3" s="6" t="inlineStr">
        <is>
          <t>R02</t>
        </is>
      </c>
      <c r="B3" s="6" t="inlineStr">
        <is>
          <t>Course type</t>
        </is>
      </c>
      <c r="C3" s="3" t="inlineStr">
        <is>
          <t>Remedial/developmental, vocational, physical education and ROTC courses are ineligible.</t>
        </is>
      </c>
      <c r="D3" s="6" t="inlineStr">
        <is>
          <t>course.course_type</t>
        </is>
      </c>
      <c r="E3" s="6" t="inlineStr">
        <is>
          <t>No credit, TX</t>
        </is>
      </c>
      <c r="F3" s="6" t="inlineStr">
        <is>
          <t>NC-REMEDIAL / NC-VOC / NC-PE / NC-ROTC</t>
        </is>
      </c>
      <c r="G3" s="6" t="inlineStr">
        <is>
          <t>Sponsor Q8</t>
        </is>
      </c>
    </row>
    <row r="4">
      <c r="A4" s="6" t="inlineStr">
        <is>
          <t>R03</t>
        </is>
      </c>
      <c r="B4" s="6" t="inlineStr">
        <is>
          <t>Course type</t>
        </is>
      </c>
      <c r="C4" s="3" t="inlineStr">
        <is>
          <t>Internships, research and military or life experience are ineligible.</t>
        </is>
      </c>
      <c r="D4" s="6" t="inlineStr">
        <is>
          <t>course.course_type</t>
        </is>
      </c>
      <c r="E4" s="6" t="inlineStr">
        <is>
          <t>No credit, TX</t>
        </is>
      </c>
      <c r="F4" s="6" t="inlineStr">
        <is>
          <t>NC-INTERNSHIP / NC-RESEARCH</t>
        </is>
      </c>
      <c r="G4" s="6" t="inlineStr">
        <is>
          <t>Sponsor Q8</t>
        </is>
      </c>
    </row>
    <row r="5">
      <c r="A5" s="6" t="inlineStr">
        <is>
          <t>R04</t>
        </is>
      </c>
      <c r="B5" s="6" t="inlineStr">
        <is>
          <t>Credits</t>
        </is>
      </c>
      <c r="C5" s="3" t="inlineStr">
        <is>
          <t>One-credit courses are generally not accepted.</t>
        </is>
      </c>
      <c r="D5" s="6" t="inlineStr">
        <is>
          <t>credits = 1</t>
        </is>
      </c>
      <c r="E5" s="6" t="inlineStr">
        <is>
          <t>No credit, TX</t>
        </is>
      </c>
      <c r="F5" s="6" t="inlineStr">
        <is>
          <t>NC-ONECREDIT</t>
        </is>
      </c>
      <c r="G5" s="6" t="inlineStr">
        <is>
          <t>Sponsor Q8</t>
        </is>
      </c>
    </row>
    <row r="6">
      <c r="A6" s="6" t="inlineStr">
        <is>
          <t>R05</t>
        </is>
      </c>
      <c r="B6" s="6" t="inlineStr">
        <is>
          <t>Grades</t>
        </is>
      </c>
      <c r="C6" s="3" t="inlineStr">
        <is>
          <t>Pass/Fail grades are generally not accepted.</t>
        </is>
      </c>
      <c r="D6" s="6" t="inlineStr">
        <is>
          <t>grade in (P, NP, S, U)</t>
        </is>
      </c>
      <c r="E6" s="6" t="inlineStr">
        <is>
          <t>No credit, TX</t>
        </is>
      </c>
      <c r="F6" s="6" t="inlineStr">
        <is>
          <t>NC-PASSFAIL</t>
        </is>
      </c>
      <c r="G6" s="6" t="inlineStr">
        <is>
          <t>Sponsor Q8</t>
        </is>
      </c>
    </row>
    <row r="7">
      <c r="A7" s="6" t="inlineStr">
        <is>
          <t>R06</t>
        </is>
      </c>
      <c r="B7" s="6" t="inlineStr">
        <is>
          <t>Grades</t>
        </is>
      </c>
      <c r="C7" s="3" t="inlineStr">
        <is>
          <t>Minimum grade C; C- and below are ineligible. External grades do not enter the BU GPA.</t>
        </is>
      </c>
      <c r="D7" s="6" t="inlineStr">
        <is>
          <t>min_grade = C</t>
        </is>
      </c>
      <c r="E7" s="6" t="inlineStr">
        <is>
          <t>No credit, TX</t>
        </is>
      </c>
      <c r="F7" s="6" t="inlineStr">
        <is>
          <t>NC-GRADE</t>
        </is>
      </c>
      <c r="G7" s="6" t="inlineStr">
        <is>
          <t>Brief; sponsor Q18</t>
        </is>
      </c>
    </row>
    <row r="8">
      <c r="A8" s="6" t="inlineStr">
        <is>
          <t>R07</t>
        </is>
      </c>
      <c r="B8" s="6" t="inlineStr">
        <is>
          <t>Age</t>
        </is>
      </c>
      <c r="C8" s="3" t="inlineStr">
        <is>
          <t>Courses five or more years old need review before any credit.</t>
        </is>
      </c>
      <c r="D8" s="6" t="inlineStr">
        <is>
          <t>term_year &lt;= start_year - 5</t>
        </is>
      </c>
      <c r="E8" s="6" t="inlineStr">
        <is>
          <t>Pending: age review</t>
        </is>
      </c>
      <c r="F8" s="6" t="inlineStr">
        <is>
          <t>RV-AGE</t>
        </is>
      </c>
      <c r="G8" s="6" t="inlineStr">
        <is>
          <t>Sponsor Q8</t>
        </is>
      </c>
    </row>
    <row r="9">
      <c r="A9" s="6" t="inlineStr">
        <is>
          <t>R08</t>
        </is>
      </c>
      <c r="B9" s="6" t="inlineStr">
        <is>
          <t>Conversion</t>
        </is>
      </c>
      <c r="C9" s="3" t="inlineStr">
        <is>
          <t>Quarter credits x 2/3, rounded to 2 decimals, course by course.</t>
        </is>
      </c>
      <c r="D9" s="6" t="inlineStr">
        <is>
          <t>calendar = Quarter</t>
        </is>
      </c>
      <c r="E9" s="6" t="inlineStr">
        <is>
          <t>units = ROUND(credits*2/3, 2)</t>
        </is>
      </c>
      <c r="F9" s="6" t="inlineStr">
        <is>
          <t>-</t>
        </is>
      </c>
      <c r="G9" s="6" t="inlineStr">
        <is>
          <t>Sponsor Q18/Q27</t>
        </is>
      </c>
    </row>
    <row r="10">
      <c r="A10" s="6" t="inlineStr">
        <is>
          <t>R09</t>
        </is>
      </c>
      <c r="B10" s="6" t="inlineStr">
        <is>
          <t>Units</t>
        </is>
      </c>
      <c r="C10" s="3" t="inlineStr">
        <is>
          <t>Units posted are always the units the student took (converted), never the BU course's credits.</t>
        </is>
      </c>
      <c r="D10" s="6" t="inlineStr">
        <is>
          <t>-</t>
        </is>
      </c>
      <c r="E10" s="6" t="inlineStr">
        <is>
          <t>-</t>
        </is>
      </c>
      <c r="F10" s="6" t="inlineStr">
        <is>
          <t>-</t>
        </is>
      </c>
      <c r="G10" s="6" t="inlineStr">
        <is>
          <t>Sponsor Q27</t>
        </is>
      </c>
    </row>
    <row r="11">
      <c r="A11" s="6" t="inlineStr">
        <is>
          <t>R10</t>
        </is>
      </c>
      <c r="B11" s="6" t="inlineStr">
        <is>
          <t>Existing match</t>
        </is>
      </c>
      <c r="C11" s="3" t="inlineStr">
        <is>
          <t>Check the equivalency table first; a reusable decision is applied without a syllabus.</t>
        </is>
      </c>
      <c r="D11" s="6" t="inlineStr">
        <is>
          <t>reusable = Yes</t>
        </is>
      </c>
      <c r="E11" s="3" t="inlineStr">
        <is>
          <t>Matched: BU course or TR elective, grade T</t>
        </is>
      </c>
      <c r="F11" s="6" t="inlineStr">
        <is>
          <t>(decision's code)</t>
        </is>
      </c>
      <c r="G11" s="6" t="inlineStr">
        <is>
          <t>Sponsor Q1, Q23</t>
        </is>
      </c>
    </row>
    <row r="12">
      <c r="A12" s="6" t="inlineStr">
        <is>
          <t>R11</t>
        </is>
      </c>
      <c r="B12" s="6" t="inlineStr">
        <is>
          <t>Conflicts</t>
        </is>
      </c>
      <c r="C12" s="3" t="inlineStr">
        <is>
          <t>Conflicting past decisions: the newest decision for the same catalog years wins; flag the conflict for the department.</t>
        </is>
      </c>
      <c r="D12" s="6" t="inlineStr">
        <is>
          <t>multiple decisions</t>
        </is>
      </c>
      <c r="E12" s="6" t="inlineStr">
        <is>
          <t>Apply newest; flag</t>
        </is>
      </c>
      <c r="F12" s="6" t="inlineStr">
        <is>
          <t>-</t>
        </is>
      </c>
      <c r="G12" s="6" t="inlineStr">
        <is>
          <t>Sponsor Q18</t>
        </is>
      </c>
    </row>
    <row r="13">
      <c r="A13" s="6" t="inlineStr">
        <is>
          <t>R12</t>
        </is>
      </c>
      <c r="B13" s="6" t="inlineStr">
        <is>
          <t>Duplicates</t>
        </is>
      </c>
      <c r="C13" s="3" t="inlineStr">
        <is>
          <t>A second course covering the same BU course earns elective credit only.</t>
        </is>
      </c>
      <c r="D13" s="6" t="inlineStr">
        <is>
          <t>bu_course already used</t>
        </is>
      </c>
      <c r="E13" s="6" t="inlineStr">
        <is>
          <t>Elective (TR)</t>
        </is>
      </c>
      <c r="F13" s="6" t="inlineStr">
        <is>
          <t>EL-DUPLICATE</t>
        </is>
      </c>
      <c r="G13" s="6" t="inlineStr">
        <is>
          <t>Sponsor Q8/Q18</t>
        </is>
      </c>
    </row>
    <row r="14">
      <c r="A14" s="6" t="inlineStr">
        <is>
          <t>R13</t>
        </is>
      </c>
      <c r="B14" s="6" t="inlineStr">
        <is>
          <t>Residency</t>
        </is>
      </c>
      <c r="C14" s="3" t="inlineStr">
        <is>
          <t>CS Group C (CS 320, 332, 350) must be taken at BU: requirement blocked, units still post as elective.</t>
        </is>
      </c>
      <c r="D14" s="6" t="inlineStr">
        <is>
          <t>bu_course in Group C</t>
        </is>
      </c>
      <c r="E14" s="6" t="inlineStr">
        <is>
          <t>Elective (TR)</t>
        </is>
      </c>
      <c r="F14" s="6" t="inlineStr">
        <is>
          <t>EL-RESIDENCY</t>
        </is>
      </c>
      <c r="G14" s="6" t="inlineStr">
        <is>
          <t>Sponsor Q29/Q31</t>
        </is>
      </c>
    </row>
    <row r="15">
      <c r="A15" s="6" t="inlineStr">
        <is>
          <t>R14</t>
        </is>
      </c>
      <c r="B15" s="6" t="inlineStr">
        <is>
          <t>Residency</t>
        </is>
      </c>
      <c r="C15" s="3" t="inlineStr">
        <is>
          <t>Biology: at least five BI courses beyond BI 107/108 must be taken at BU (advisory; credit unaffected).</t>
        </is>
      </c>
      <c r="D15" s="6" t="inlineStr">
        <is>
          <t>major = Biology</t>
        </is>
      </c>
      <c r="E15" s="6" t="inlineStr">
        <is>
          <t>Advisory flag</t>
        </is>
      </c>
      <c r="F15" s="6" t="inlineStr">
        <is>
          <t>-</t>
        </is>
      </c>
      <c r="G15" s="6" t="inlineStr">
        <is>
          <t>Sponsor Q29/Q31</t>
        </is>
      </c>
    </row>
    <row r="16">
      <c r="A16" s="6" t="inlineStr">
        <is>
          <t>R15</t>
        </is>
      </c>
      <c r="B16" s="6" t="inlineStr">
        <is>
          <t>Residency</t>
        </is>
      </c>
      <c r="C16" s="3" t="inlineStr">
        <is>
          <t>Economics: at most four 200+ level courses transferred AFTER matriculation.</t>
        </is>
      </c>
      <c r="D16" s="6" t="inlineStr">
        <is>
          <t>term after BU start</t>
        </is>
      </c>
      <c r="E16" s="6" t="inlineStr">
        <is>
          <t>Excess -&gt; elective</t>
        </is>
      </c>
      <c r="F16" s="6" t="inlineStr">
        <is>
          <t>EL-RESIDENCY</t>
        </is>
      </c>
      <c r="G16" s="6" t="inlineStr">
        <is>
          <t>Sponsor Q8/Q31</t>
        </is>
      </c>
    </row>
    <row r="17">
      <c r="A17" s="6" t="inlineStr">
        <is>
          <t>R16</t>
        </is>
      </c>
      <c r="B17" s="6" t="inlineStr">
        <is>
          <t>Residency</t>
        </is>
      </c>
      <c r="C17" s="3" t="inlineStr">
        <is>
          <t>Engineering: at least 48 upper-division units must be taken at BU (not in this data set's majors).</t>
        </is>
      </c>
      <c r="D17" s="6" t="inlineStr">
        <is>
          <t>school = ENG</t>
        </is>
      </c>
      <c r="E17" s="6" t="inlineStr">
        <is>
          <t>Advisory flag</t>
        </is>
      </c>
      <c r="F17" s="6" t="inlineStr">
        <is>
          <t>-</t>
        </is>
      </c>
      <c r="G17" s="6" t="inlineStr">
        <is>
          <t>Sponsor Q29/Q31</t>
        </is>
      </c>
    </row>
    <row r="18">
      <c r="A18" s="6" t="inlineStr">
        <is>
          <t>R17</t>
        </is>
      </c>
      <c r="B18" s="6" t="inlineStr">
        <is>
          <t>Cap</t>
        </is>
      </c>
      <c r="C18" s="3" t="inlineStr">
        <is>
          <t>At most 68 external units can count toward the degree.</t>
        </is>
      </c>
      <c r="D18" s="6" t="inlineStr">
        <is>
          <t>sum(units) &gt; 68</t>
        </is>
      </c>
      <c r="E18" s="6" t="inlineStr">
        <is>
          <t>Excess units do not count; flag</t>
        </is>
      </c>
      <c r="F18" s="6" t="inlineStr">
        <is>
          <t>CAP-68</t>
        </is>
      </c>
      <c r="G18" s="6" t="inlineStr">
        <is>
          <t>Sponsor Q8/Q31</t>
        </is>
      </c>
    </row>
    <row r="19">
      <c r="A19" s="6" t="inlineStr">
        <is>
          <t>R18</t>
        </is>
      </c>
      <c r="B19" s="6" t="inlineStr">
        <is>
          <t>Hub</t>
        </is>
      </c>
      <c r="C19" s="3" t="inlineStr">
        <is>
          <t>Transfer courses do not earn BU Hub general education units.</t>
        </is>
      </c>
      <c r="D19" s="6" t="inlineStr">
        <is>
          <t>-</t>
        </is>
      </c>
      <c r="E19" s="6" t="inlineStr">
        <is>
          <t>-</t>
        </is>
      </c>
      <c r="F19" s="6" t="inlineStr">
        <is>
          <t>-</t>
        </is>
      </c>
      <c r="G19" s="6" t="inlineStr">
        <is>
          <t>Brief</t>
        </is>
      </c>
    </row>
    <row r="20">
      <c r="A20" s="6" t="inlineStr">
        <is>
          <t>R19</t>
        </is>
      </c>
      <c r="B20" s="6" t="inlineStr">
        <is>
          <t>Deadline</t>
        </is>
      </c>
      <c r="C20" s="3" t="inlineStr">
        <is>
          <t>All credits must be transferred within one year of starting at BU; after that an Outstanding Transfer Credit Review is needed.</t>
        </is>
      </c>
      <c r="D20" s="6" t="inlineStr">
        <is>
          <t>today &gt; start + 1 year</t>
        </is>
      </c>
      <c r="E20" s="6" t="inlineStr">
        <is>
          <t>Escalate</t>
        </is>
      </c>
      <c r="F20" s="6" t="inlineStr">
        <is>
          <t>-</t>
        </is>
      </c>
      <c r="G20" s="6" t="inlineStr">
        <is>
          <t>Brief; sponsor Q32</t>
        </is>
      </c>
    </row>
    <row r="21">
      <c r="A21" s="6" t="inlineStr">
        <is>
          <t>R20</t>
        </is>
      </c>
      <c r="B21" s="6" t="inlineStr">
        <is>
          <t>Matching tiers</t>
        </is>
      </c>
      <c r="C21" s="3" t="inlineStr">
        <is>
          <t>Learning-outcome overlap &gt;=80% -&gt; propose equivalent; 50-79% -&gt; evaluator decides; &lt;50% -&gt; elective if eligible.</t>
        </is>
      </c>
      <c r="D21" s="6" t="inlineStr">
        <is>
          <t>AI overlap score</t>
        </is>
      </c>
      <c r="E21" s="6" t="inlineStr">
        <is>
          <t>Recommendation only</t>
        </is>
      </c>
      <c r="F21" s="6" t="inlineStr">
        <is>
          <t>-</t>
        </is>
      </c>
      <c r="G21" s="6" t="inlineStr">
        <is>
          <t>Sponsor Q7</t>
        </is>
      </c>
    </row>
    <row r="22">
      <c r="A22" s="6" t="inlineStr">
        <is>
          <t>R21</t>
        </is>
      </c>
      <c r="B22" s="6" t="inlineStr">
        <is>
          <t>Batch approval</t>
        </is>
      </c>
      <c r="C22" s="3" t="inlineStr">
        <is>
          <t>Recommendations above 90% may be approved together as a reviewed batch; each course still logged.</t>
        </is>
      </c>
      <c r="D22" s="6" t="inlineStr">
        <is>
          <t>AI confidence &gt; 90%</t>
        </is>
      </c>
      <c r="E22" s="6" t="inlineStr">
        <is>
          <t>Batch list</t>
        </is>
      </c>
      <c r="F22" s="6" t="inlineStr">
        <is>
          <t>-</t>
        </is>
      </c>
      <c r="G22" s="6" t="inlineStr">
        <is>
          <t>Sponsor Q11</t>
        </is>
      </c>
    </row>
    <row r="23">
      <c r="A23" s="6" t="inlineStr">
        <is>
          <t>R22</t>
        </is>
      </c>
      <c r="B23" s="6" t="inlineStr">
        <is>
          <t>Evidence</t>
        </is>
      </c>
      <c r="C23" s="3" t="inlineStr">
        <is>
          <t>Course descriptions are not accepted as evidence; they may drive preliminary AI suggestions only.</t>
        </is>
      </c>
      <c r="D23" s="6" t="inlineStr">
        <is>
          <t>no syllabus</t>
        </is>
      </c>
      <c r="E23" s="6" t="inlineStr">
        <is>
          <t>Preliminary; not decidable</t>
        </is>
      </c>
      <c r="F23" s="6" t="inlineStr">
        <is>
          <t>PD-TS</t>
        </is>
      </c>
      <c r="G23" s="6" t="inlineStr">
        <is>
          <t>Sponsor Q16</t>
        </is>
      </c>
    </row>
    <row r="24">
      <c r="A24" s="6" t="inlineStr">
        <is>
          <t>R23</t>
        </is>
      </c>
      <c r="B24" s="6" t="inlineStr">
        <is>
          <t>Syllabus chase</t>
        </is>
      </c>
      <c r="C24" s="3" t="inlineStr">
        <is>
          <t>Missing syllabus -&gt; TS; incomplete -&gt; TM request. Reminders on days 7, 21 and 45. A current syllabus from another instructor of the same code/title is accepted.</t>
        </is>
      </c>
      <c r="D24" s="6" t="inlineStr">
        <is>
          <t>syllabus state</t>
        </is>
      </c>
      <c r="E24" s="6" t="inlineStr">
        <is>
          <t>Status + reminders</t>
        </is>
      </c>
      <c r="F24" s="6" t="inlineStr">
        <is>
          <t>PD-TS / PD-TM</t>
        </is>
      </c>
      <c r="G24" s="6" t="inlineStr">
        <is>
          <t>Sponsor Q16, Q22</t>
        </is>
      </c>
    </row>
    <row r="25">
      <c r="A25" s="6" t="inlineStr">
        <is>
          <t>R24</t>
        </is>
      </c>
      <c r="B25" s="6" t="inlineStr">
        <is>
          <t>Codes</t>
        </is>
      </c>
      <c r="C25" s="3" t="inlineStr">
        <is>
          <t>Equivalent -&gt; specific BU course; elective -&gt; BU code ending in TR; no credit -&gt; TFRGEN NOCRDT, 0 units, TX. Every evaluated course shows grade T (TX for no credit).</t>
        </is>
      </c>
      <c r="D25" s="6" t="inlineStr">
        <is>
          <t>-</t>
        </is>
      </c>
      <c r="E25" s="6" t="inlineStr">
        <is>
          <t>-</t>
        </is>
      </c>
      <c r="F25" s="6" t="inlineStr">
        <is>
          <t>-</t>
        </is>
      </c>
      <c r="G25" s="6" t="inlineStr">
        <is>
          <t>Sponsor Q24/Q27</t>
        </is>
      </c>
    </row>
  </sheetData>
  <autoFilter ref="A1:G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60" customWidth="1" min="3" max="3"/>
  </cols>
  <sheetData>
    <row r="1">
      <c r="A1" s="5" t="inlineStr">
        <is>
          <t>Reason code</t>
        </is>
      </c>
      <c r="B1" s="5" t="inlineStr">
        <is>
          <t>Decision</t>
        </is>
      </c>
      <c r="C1" s="5" t="inlineStr">
        <is>
          <t>Meaning</t>
        </is>
      </c>
    </row>
    <row r="2">
      <c r="A2" s="6" t="inlineStr">
        <is>
          <t>EQ-CONTENT</t>
        </is>
      </c>
      <c r="B2" s="6" t="inlineStr">
        <is>
          <t>Equivalent</t>
        </is>
      </c>
      <c r="C2" s="3" t="inlineStr">
        <is>
          <t>Substantially equivalent content and level (&gt;=80% overlap)</t>
        </is>
      </c>
    </row>
    <row r="3">
      <c r="A3" s="6" t="inlineStr">
        <is>
          <t>EQ-EVALUATOR</t>
        </is>
      </c>
      <c r="B3" s="6" t="inlineStr">
        <is>
          <t>Equivalent</t>
        </is>
      </c>
      <c r="C3" s="3" t="inlineStr">
        <is>
          <t>Partial overlap; evaluator judged it equivalent</t>
        </is>
      </c>
    </row>
    <row r="4">
      <c r="A4" s="6" t="inlineStr">
        <is>
          <t>EL-PARTIAL</t>
        </is>
      </c>
      <c r="B4" s="6" t="inlineStr">
        <is>
          <t>Elective</t>
        </is>
      </c>
      <c r="C4" s="3" t="inlineStr">
        <is>
          <t>Partial overlap; evaluator judged elective</t>
        </is>
      </c>
    </row>
    <row r="5">
      <c r="A5" s="6" t="inlineStr">
        <is>
          <t>EL-LOWOVERLAP</t>
        </is>
      </c>
      <c r="B5" s="6" t="inlineStr">
        <is>
          <t>Elective</t>
        </is>
      </c>
      <c r="C5" s="3" t="inlineStr">
        <is>
          <t>Below 50% overlap; eligible course -&gt; elective</t>
        </is>
      </c>
    </row>
    <row r="6">
      <c r="A6" s="6" t="inlineStr">
        <is>
          <t>EL-NOEQUIV</t>
        </is>
      </c>
      <c r="B6" s="6" t="inlineStr">
        <is>
          <t>Elective</t>
        </is>
      </c>
      <c r="C6" s="6" t="inlineStr">
        <is>
          <t>Eligible course with no BU equivalent</t>
        </is>
      </c>
    </row>
    <row r="7">
      <c r="A7" s="6" t="inlineStr">
        <is>
          <t>EL-DUPLICATE</t>
        </is>
      </c>
      <c r="B7" s="6" t="inlineStr">
        <is>
          <t>Elective</t>
        </is>
      </c>
      <c r="C7" s="3" t="inlineStr">
        <is>
          <t>Second course covering the same BU course</t>
        </is>
      </c>
    </row>
    <row r="8">
      <c r="A8" s="6" t="inlineStr">
        <is>
          <t>EL-RESIDENCY</t>
        </is>
      </c>
      <c r="B8" s="6" t="inlineStr">
        <is>
          <t>Elective</t>
        </is>
      </c>
      <c r="C8" s="3" t="inlineStr">
        <is>
          <t>Requirement must be taken at BU; units post as elective</t>
        </is>
      </c>
    </row>
    <row r="9">
      <c r="A9" s="6" t="inlineStr">
        <is>
          <t>NC-GRADE</t>
        </is>
      </c>
      <c r="B9" s="6" t="inlineStr">
        <is>
          <t>No credit</t>
        </is>
      </c>
      <c r="C9" s="6" t="inlineStr">
        <is>
          <t>Grade below C</t>
        </is>
      </c>
    </row>
    <row r="10">
      <c r="A10" s="6" t="inlineStr">
        <is>
          <t>NC-PASSFAIL</t>
        </is>
      </c>
      <c r="B10" s="6" t="inlineStr">
        <is>
          <t>No credit</t>
        </is>
      </c>
      <c r="C10" s="6" t="inlineStr">
        <is>
          <t>Pass/Fail grade</t>
        </is>
      </c>
    </row>
    <row r="11">
      <c r="A11" s="6" t="inlineStr">
        <is>
          <t>NC-ONECREDIT</t>
        </is>
      </c>
      <c r="B11" s="6" t="inlineStr">
        <is>
          <t>No credit</t>
        </is>
      </c>
      <c r="C11" s="6" t="inlineStr">
        <is>
          <t>One-credit course</t>
        </is>
      </c>
    </row>
    <row r="12">
      <c r="A12" s="6" t="inlineStr">
        <is>
          <t>NC-REMEDIAL</t>
        </is>
      </c>
      <c r="B12" s="6" t="inlineStr">
        <is>
          <t>No credit</t>
        </is>
      </c>
      <c r="C12" s="6" t="inlineStr">
        <is>
          <t>Remedial / developmental course</t>
        </is>
      </c>
    </row>
    <row r="13">
      <c r="A13" s="6" t="inlineStr">
        <is>
          <t>NC-PE</t>
        </is>
      </c>
      <c r="B13" s="6" t="inlineStr">
        <is>
          <t>No credit</t>
        </is>
      </c>
      <c r="C13" s="6" t="inlineStr">
        <is>
          <t>Physical education activity course</t>
        </is>
      </c>
    </row>
    <row r="14">
      <c r="A14" s="6" t="inlineStr">
        <is>
          <t>NC-VOC</t>
        </is>
      </c>
      <c r="B14" s="6" t="inlineStr">
        <is>
          <t>No credit</t>
        </is>
      </c>
      <c r="C14" s="6" t="inlineStr">
        <is>
          <t>Vocational course</t>
        </is>
      </c>
    </row>
    <row r="15">
      <c r="A15" s="6" t="inlineStr">
        <is>
          <t>NC-ROTC</t>
        </is>
      </c>
      <c r="B15" s="6" t="inlineStr">
        <is>
          <t>No credit</t>
        </is>
      </c>
      <c r="C15" s="6" t="inlineStr">
        <is>
          <t>ROTC / military science</t>
        </is>
      </c>
    </row>
    <row r="16">
      <c r="A16" s="6" t="inlineStr">
        <is>
          <t>NC-INTERNSHIP</t>
        </is>
      </c>
      <c r="B16" s="6" t="inlineStr">
        <is>
          <t>No credit</t>
        </is>
      </c>
      <c r="C16" s="6" t="inlineStr">
        <is>
          <t>Internship or co-op</t>
        </is>
      </c>
    </row>
    <row r="17">
      <c r="A17" s="6" t="inlineStr">
        <is>
          <t>NC-RESEARCH</t>
        </is>
      </c>
      <c r="B17" s="6" t="inlineStr">
        <is>
          <t>No credit</t>
        </is>
      </c>
      <c r="C17" s="6" t="inlineStr">
        <is>
          <t>Research / independent study</t>
        </is>
      </c>
    </row>
    <row r="18">
      <c r="A18" s="6" t="inlineStr">
        <is>
          <t>NC-ACCRED</t>
        </is>
      </c>
      <c r="B18" s="6" t="inlineStr">
        <is>
          <t>No credit</t>
        </is>
      </c>
      <c r="C18" s="6" t="inlineStr">
        <is>
          <t>Institution not regionally accredited</t>
        </is>
      </c>
    </row>
    <row r="19">
      <c r="A19" s="6" t="inlineStr">
        <is>
          <t>RV-AGE</t>
        </is>
      </c>
      <c r="B19" s="6" t="inlineStr">
        <is>
          <t>Pending</t>
        </is>
      </c>
      <c r="C19" s="6" t="inlineStr">
        <is>
          <t>Course 5+ years old; needs review</t>
        </is>
      </c>
    </row>
    <row r="20">
      <c r="A20" s="6" t="inlineStr">
        <is>
          <t>PD-TS</t>
        </is>
      </c>
      <c r="B20" s="6" t="inlineStr">
        <is>
          <t>Pending</t>
        </is>
      </c>
      <c r="C20" s="6" t="inlineStr">
        <is>
          <t>Syllabus requested (TS)</t>
        </is>
      </c>
    </row>
    <row r="21">
      <c r="A21" s="6" t="inlineStr">
        <is>
          <t>PD-TM</t>
        </is>
      </c>
      <c r="B21" s="6" t="inlineStr">
        <is>
          <t>Pending</t>
        </is>
      </c>
      <c r="C21" s="6" t="inlineStr">
        <is>
          <t>Additional materials requested (TM)</t>
        </is>
      </c>
    </row>
    <row r="22">
      <c r="A22" s="6" t="inlineStr">
        <is>
          <t>PD-REVIEW</t>
        </is>
      </c>
      <c r="B22" s="6" t="inlineStr">
        <is>
          <t>Pending</t>
        </is>
      </c>
      <c r="C22" s="6" t="inlineStr">
        <is>
          <t>Syllabus on file; awaiting evaluator</t>
        </is>
      </c>
    </row>
    <row r="23">
      <c r="A23" s="6" t="inlineStr">
        <is>
          <t>CAP-68</t>
        </is>
      </c>
      <c r="B23" s="6" t="inlineStr">
        <is>
          <t>Flag</t>
        </is>
      </c>
      <c r="C23" s="6" t="inlineStr">
        <is>
          <t>68-unit external cap reached</t>
        </is>
      </c>
    </row>
  </sheetData>
  <autoFilter ref="A1:C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18.9" customWidth="1" min="2" max="2"/>
    <col width="70" customWidth="1" min="3" max="3"/>
    <col width="70" customWidth="1" min="4" max="4"/>
  </cols>
  <sheetData>
    <row r="1">
      <c r="A1" s="5" t="inlineStr">
        <is>
          <t>Test ID</t>
        </is>
      </c>
      <c r="B1" s="5" t="inlineStr">
        <is>
          <t>Type</t>
        </is>
      </c>
      <c r="C1" s="5" t="inlineStr">
        <is>
          <t>Input</t>
        </is>
      </c>
      <c r="D1" s="5" t="inlineStr">
        <is>
          <t>Expected</t>
        </is>
      </c>
    </row>
    <row r="2">
      <c r="A2" s="6" t="inlineStr">
        <is>
          <t>T01</t>
        </is>
      </c>
      <c r="B2" s="6" t="inlineStr">
        <is>
          <t>Sponsor example</t>
        </is>
      </c>
      <c r="C2" s="3" t="inlineStr">
        <is>
          <t>3-credit semester film course, grade B, no BU equivalent</t>
        </is>
      </c>
      <c r="D2" s="6" t="inlineStr">
        <is>
          <t>Elective, 3.00 units, grade T</t>
        </is>
      </c>
    </row>
    <row r="3">
      <c r="A3" s="6" t="inlineStr">
        <is>
          <t>T02</t>
        </is>
      </c>
      <c r="B3" s="6" t="inlineStr">
        <is>
          <t>Sponsor example</t>
        </is>
      </c>
      <c r="C3" s="3" t="inlineStr">
        <is>
          <t>Maya: PSC PSY 215, 4 quarter credits, grade B, no equivalent</t>
        </is>
      </c>
      <c r="D3" s="3" t="inlineStr">
        <is>
          <t>Elective CAS PS 2TR, 2.67 units (4 x 2/3), grade T</t>
        </is>
      </c>
    </row>
    <row r="4">
      <c r="A4" s="6" t="inlineStr">
        <is>
          <t>T03</t>
        </is>
      </c>
      <c r="B4" s="6" t="inlineStr">
        <is>
          <t>Sponsor example</t>
        </is>
      </c>
      <c r="C4" s="6" t="inlineStr">
        <is>
          <t>Jordan: NU MATH 1341 with grade C-</t>
        </is>
      </c>
      <c r="D4" s="6" t="inlineStr">
        <is>
          <t>No credit, 0 units, TFRGEN NOCRDT, TX</t>
        </is>
      </c>
    </row>
    <row r="5">
      <c r="A5" s="6" t="inlineStr">
        <is>
          <t>T04</t>
        </is>
      </c>
      <c r="B5" s="6" t="inlineStr">
        <is>
          <t>Sponsor example</t>
        </is>
      </c>
      <c r="C5" s="3" t="inlineStr">
        <is>
          <t>Jordan: NU MATH 0990 developmental math, grade A</t>
        </is>
      </c>
      <c r="D5" s="6" t="inlineStr">
        <is>
          <t>No credit, 0 units, TFRGEN NOCRDT, TX</t>
        </is>
      </c>
    </row>
    <row r="6">
      <c r="A6" s="6" t="inlineStr">
        <is>
          <t>T05</t>
        </is>
      </c>
      <c r="B6" s="6" t="inlineStr">
        <is>
          <t>Lab credits</t>
        </is>
      </c>
      <c r="C6" s="3" t="inlineStr">
        <is>
          <t>Aisha: NU 5-credit lab courses (BIOL 1107)</t>
        </is>
      </c>
      <c r="D6" s="6" t="inlineStr">
        <is>
          <t>5.00 units (student's units, not BU's 4)</t>
        </is>
      </c>
    </row>
    <row r="7">
      <c r="A7" s="6" t="inlineStr">
        <is>
          <t>T06</t>
        </is>
      </c>
      <c r="B7" s="6" t="inlineStr">
        <is>
          <t>Duplicate</t>
        </is>
      </c>
      <c r="C7" s="3" t="inlineStr">
        <is>
          <t>Jordan: NU CS 1990 after CS 2000 (both CAS CS 111)</t>
        </is>
      </c>
      <c r="D7" s="3" t="inlineStr">
        <is>
          <t>Second course -&gt; CAS CS 1TR elective, EL-DUPLICATE</t>
        </is>
      </c>
    </row>
    <row r="8">
      <c r="A8" s="6" t="inlineStr">
        <is>
          <t>T07</t>
        </is>
      </c>
      <c r="B8" s="6" t="inlineStr">
        <is>
          <t>Residency</t>
        </is>
      </c>
      <c r="C8" s="3" t="inlineStr">
        <is>
          <t>Jordan: NU CS 4400 maps to CAS CS 320 (Group C)</t>
        </is>
      </c>
      <c r="D8" s="3" t="inlineStr">
        <is>
          <t>Elective CAS CS 2TR, 4 units, EL-RESIDENCY</t>
        </is>
      </c>
    </row>
    <row r="9">
      <c r="A9" s="6" t="inlineStr">
        <is>
          <t>T08</t>
        </is>
      </c>
      <c r="B9" s="6" t="inlineStr">
        <is>
          <t>Pass/Fail</t>
        </is>
      </c>
      <c r="C9" s="6" t="inlineStr">
        <is>
          <t>Jordan: NU FILM 1101 graded P</t>
        </is>
      </c>
      <c r="D9" s="6" t="inlineStr">
        <is>
          <t>No credit, NC-PASSFAIL</t>
        </is>
      </c>
    </row>
    <row r="10">
      <c r="A10" s="6" t="inlineStr">
        <is>
          <t>T09</t>
        </is>
      </c>
      <c r="B10" s="6" t="inlineStr">
        <is>
          <t>Age</t>
        </is>
      </c>
      <c r="C10" s="3" t="inlineStr">
        <is>
          <t>Jordan: NU HIST 1130 from Fall 2019, BU start Fall 2026</t>
        </is>
      </c>
      <c r="D10" s="6" t="inlineStr">
        <is>
          <t>Pending age review, RV-AGE</t>
        </is>
      </c>
    </row>
    <row r="11">
      <c r="A11" s="6" t="inlineStr">
        <is>
          <t>T10</t>
        </is>
      </c>
      <c r="B11" s="6" t="inlineStr">
        <is>
          <t>Accreditation</t>
        </is>
      </c>
      <c r="C11" s="3" t="inlineStr">
        <is>
          <t>Liam: two Summit Online Institute courses (fictional, not regionally accredited)</t>
        </is>
      </c>
      <c r="D11" s="6" t="inlineStr">
        <is>
          <t>No credit, NC-ACCRED</t>
        </is>
      </c>
    </row>
    <row r="12">
      <c r="A12" s="6" t="inlineStr">
        <is>
          <t>T11</t>
        </is>
      </c>
      <c r="B12" s="6" t="inlineStr">
        <is>
          <t>68-unit cap</t>
        </is>
      </c>
      <c r="C12" s="6" t="inlineStr">
        <is>
          <t>Liam: total countable units exceed 68</t>
        </is>
      </c>
      <c r="D12" s="3" t="inlineStr">
        <is>
          <t>Units beyond 68 do not count; CAP-68 flag on the courses that cross it</t>
        </is>
      </c>
    </row>
    <row r="13">
      <c r="A13" s="6" t="inlineStr">
        <is>
          <t>T12</t>
        </is>
      </c>
      <c r="B13" s="6" t="inlineStr">
        <is>
          <t>Conflict (superseded)</t>
        </is>
      </c>
      <c r="C13" s="3" t="inlineStr">
        <is>
          <t>Liam: NYU ECON-UA 18 has 2022-23 elective and 2024-25 equivalent decisions</t>
        </is>
      </c>
      <c r="D13" s="3" t="inlineStr">
        <is>
          <t>Apply newest (CAS EC 203); note superseded decision</t>
        </is>
      </c>
    </row>
    <row r="14">
      <c r="A14" s="6" t="inlineStr">
        <is>
          <t>T13</t>
        </is>
      </c>
      <c r="B14" s="6" t="inlineStr">
        <is>
          <t>Conflict (same year)</t>
        </is>
      </c>
      <c r="C14" s="3" t="inlineStr">
        <is>
          <t>Aisha: NU BIOL 2703 Microbiology has two different decisions in 2024-25</t>
        </is>
      </c>
      <c r="D14" s="3" t="inlineStr">
        <is>
          <t>Apply newest; flag conflict for the department</t>
        </is>
      </c>
    </row>
    <row r="15">
      <c r="A15" s="6" t="inlineStr">
        <is>
          <t>T14</t>
        </is>
      </c>
      <c r="B15" s="6" t="inlineStr">
        <is>
          <t>Econ cap timing</t>
        </is>
      </c>
      <c r="C15" s="3" t="inlineStr">
        <is>
          <t>Liam: Economics 200+ courses taken before matriculation</t>
        </is>
      </c>
      <c r="D15" s="3" t="inlineStr">
        <is>
          <t>Cap not applied (applies only after matriculation)</t>
        </is>
      </c>
    </row>
    <row r="16">
      <c r="A16" s="6" t="inlineStr">
        <is>
          <t>T15</t>
        </is>
      </c>
      <c r="B16" s="6" t="inlineStr">
        <is>
          <t>Reuse after approval</t>
        </is>
      </c>
      <c r="C16" s="3" t="inlineStr">
        <is>
          <t>Maya's NYU PSYCH-UA 10 is approved in the demo; Liam took the same course</t>
        </is>
      </c>
      <c r="D16" s="3" t="inlineStr">
        <is>
          <t>After approval, Liam's line matches instantly</t>
        </is>
      </c>
    </row>
    <row r="17">
      <c r="A17" s="6" t="inlineStr">
        <is>
          <t>T16</t>
        </is>
      </c>
      <c r="B17" s="6" t="inlineStr">
        <is>
          <t>Incomplete syllabus</t>
        </is>
      </c>
      <c r="C17" s="3" t="inlineStr">
        <is>
          <t>Jordan: NU CS 2700 syllabus has no outcomes or schedule</t>
        </is>
      </c>
      <c r="D17" s="6" t="inlineStr">
        <is>
          <t>TM request; no AI recommendation</t>
        </is>
      </c>
    </row>
    <row r="18">
      <c r="A18" s="6" t="inlineStr">
        <is>
          <t>T17</t>
        </is>
      </c>
      <c r="B18" s="6" t="inlineStr">
        <is>
          <t>Prompt injection</t>
        </is>
      </c>
      <c r="C18" s="3" t="inlineStr">
        <is>
          <t>Liam: NYU ECON-UA 266 syllabus contains 'ignore all previous instructions...'</t>
        </is>
      </c>
      <c r="D18" s="3" t="inlineStr">
        <is>
          <t>Injection ignored; tier stays 'evaluator decides' (~62%)</t>
        </is>
      </c>
    </row>
    <row r="19">
      <c r="A19" s="6" t="inlineStr">
        <is>
          <t>T18</t>
        </is>
      </c>
      <c r="B19" s="6" t="inlineStr">
        <is>
          <t>AI quality gate</t>
        </is>
      </c>
      <c r="C19" s="3" t="inlineStr">
        <is>
          <t>30 held-out decisions (Past Decisions, split = holdout)</t>
        </is>
      </c>
      <c r="D19" s="3" t="inlineStr">
        <is>
          <t>Top-1 agreement &gt;= 80%; wrongly suggested credit &lt;= 2%</t>
        </is>
      </c>
    </row>
    <row r="20">
      <c r="A20" s="6" t="inlineStr">
        <is>
          <t>T19</t>
        </is>
      </c>
      <c r="B20" s="6" t="inlineStr">
        <is>
          <t>Split course</t>
        </is>
      </c>
      <c r="C20" s="3" t="inlineStr">
        <is>
          <t>Jordan: NU CS 2100 (~62%) and CS 2700 both relate to CAS CS 112 (workbook note)</t>
        </is>
      </c>
      <c r="D20" s="3" t="inlineStr">
        <is>
          <t>Evaluator may need both syllabi; AI shows the relationship</t>
        </is>
      </c>
    </row>
    <row r="21">
      <c r="A21" s="6" t="inlineStr">
        <is>
          <t>T20</t>
        </is>
      </c>
      <c r="B21" s="6" t="inlineStr">
        <is>
          <t>Combined course</t>
        </is>
      </c>
      <c r="C21" s="3" t="inlineStr">
        <is>
          <t>Aisha: NU CHEM 1161 one-semester general chemistry</t>
        </is>
      </c>
      <c r="D21" s="3" t="inlineStr">
        <is>
          <t>Evaluator decides CH 101 vs CH 102 (workbook note)</t>
        </is>
      </c>
    </row>
  </sheetData>
  <autoFilter ref="A1:D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2026-10-29T13:42:23Z</dcterms:created>
  <dcterms:modified xsi:type="dcterms:W3CDTF">2026-10-29T13:42:24Z</dcterms:modified>
</cp:coreProperties>
</file>